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mplate Audit" sheetId="1" state="visible" r:id="rId3"/>
    <sheet name="Summary Dashboard" sheetId="2" state="visible" r:id="rId4"/>
    <sheet name="Timeline View" sheetId="3" state="visible" r:id="rId5"/>
  </sheets>
  <definedNames>
    <definedName function="false" hidden="true" localSheetId="0" name="_xlnm._FilterDatabase" vbProcedure="false">'Template Audit'!$A$1:$J$90</definedName>
    <definedName function="false" hidden="true" localSheetId="2" name="_xlnm._FilterDatabase" vbProcedure="false">'Timeline View'!$A$1:$F$90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<sst xmlns="http://schemas.openxmlformats.org/spreadsheetml/2006/main" count="1215" uniqueCount="295">
  <si>
    <t xml:space="preserve">Priority Tier</t>
  </si>
  <si>
    <t xml:space="preserve">Category</t>
  </si>
  <si>
    <t xml:space="preserve">Asset/Template Name</t>
  </si>
  <si>
    <t xml:space="preserve">Description</t>
  </si>
  <si>
    <t xml:space="preserve">Format</t>
  </si>
  <si>
    <t xml:space="preserve">Status</t>
  </si>
  <si>
    <t xml:space="preserve">Dependencies</t>
  </si>
  <si>
    <t xml:space="preserve">Deadline</t>
  </si>
  <si>
    <t xml:space="preserve">Owner</t>
  </si>
  <si>
    <t xml:space="preserve">Notes</t>
  </si>
  <si>
    <t xml:space="preserve">Logo System</t>
  </si>
  <si>
    <t xml:space="preserve">Primary Logo Files (SVG, PNG, EPS, AI)</t>
  </si>
  <si>
    <t xml:space="preserve">Full-color, single-color, reversed, all colorway variations</t>
  </si>
  <si>
    <t xml:space="preserve">SVG/PNG/EPS/AI</t>
  </si>
  <si>
    <t xml:space="preserve">Not Started</t>
  </si>
  <si>
    <t xml:space="preserve">2026-03-31</t>
  </si>
  <si>
    <t xml:space="preserve">Chris</t>
  </si>
  <si>
    <t xml:space="preserve">All formats needed for different applications</t>
  </si>
  <si>
    <t xml:space="preserve">Secondary/Alternate Mark</t>
  </si>
  <si>
    <t xml:space="preserve">Secondary mark variations for constrained spaces</t>
  </si>
  <si>
    <t xml:space="preserve">Primary Logo Files</t>
  </si>
  <si>
    <t xml:space="preserve">Sub-Brand Lockup Templates</t>
  </si>
  <si>
    <t xml:space="preserve">Lockup templates for: Reboot, Energy Summit, Dynamist, FAI Labs, Policy Hackers, Schoolahoop, BIPBounty, Project Nickel</t>
  </si>
  <si>
    <t xml:space="preserve">AI/Figma</t>
  </si>
  <si>
    <t xml:space="preserve">2026-05-31</t>
  </si>
  <si>
    <t xml:space="preserve">8 sub-brand lockups needed</t>
  </si>
  <si>
    <t xml:space="preserve">Logo Usage Guide Page</t>
  </si>
  <si>
    <t xml:space="preserve">Page for brand book showing logo specifications, clearspace, sizing, dos/donts</t>
  </si>
  <si>
    <t xml:space="preserve">PDF/InDesign</t>
  </si>
  <si>
    <t xml:space="preserve">2026-04-30</t>
  </si>
  <si>
    <t xml:space="preserve">Favicon &amp; App Icon Set</t>
  </si>
  <si>
    <t xml:space="preserve">16x16, 32x32, 64x64, 128x128, 180x180 (iOS), 192x192 (Android)</t>
  </si>
  <si>
    <t xml:space="preserve">PNG/ICO</t>
  </si>
  <si>
    <t xml:space="preserve">Watermark Versions</t>
  </si>
  <si>
    <t xml:space="preserve">Semi-transparent logo for background/document watermarking</t>
  </si>
  <si>
    <t xml:space="preserve">PNG/PDF</t>
  </si>
  <si>
    <t xml:space="preserve">Color System</t>
  </si>
  <si>
    <t xml:space="preserve">Color Specification Sheet</t>
  </si>
  <si>
    <t xml:space="preserve">HEX, RGB, CMYK, Pantone values for primary and secondary palettes</t>
  </si>
  <si>
    <t xml:space="preserve">XLSX/PDF</t>
  </si>
  <si>
    <t xml:space="preserve">Include accessibility notes</t>
  </si>
  <si>
    <t xml:space="preserve">Color Palette Files (ASE, CLR)</t>
  </si>
  <si>
    <t xml:space="preserve">Adobe Swatch Exchange and macOS/Windows color palette files</t>
  </si>
  <si>
    <t xml:space="preserve">ASE/CLR</t>
  </si>
  <si>
    <t xml:space="preserve">2026-04-15</t>
  </si>
  <si>
    <t xml:space="preserve">Accessibility Contrast Ratio Documentation</t>
  </si>
  <si>
    <t xml:space="preserve">WCAG AA/AAA compliance chart for all color combinations</t>
  </si>
  <si>
    <t xml:space="preserve">PDF/XLSX</t>
  </si>
  <si>
    <t xml:space="preserve">Sub-Brand Color Extensions</t>
  </si>
  <si>
    <t xml:space="preserve">Color palettes for each sub-brand within system</t>
  </si>
  <si>
    <t xml:space="preserve">ASE/CLR/PDF</t>
  </si>
  <si>
    <t xml:space="preserve">Typography</t>
  </si>
  <si>
    <t xml:space="preserve">Typeface License Documentation</t>
  </si>
  <si>
    <t xml:space="preserve">Licensed typeface details, usage restrictions, web font rights</t>
  </si>
  <si>
    <t xml:space="preserve">PDF</t>
  </si>
  <si>
    <t xml:space="preserve">2026-03-15</t>
  </si>
  <si>
    <t xml:space="preserve">Type Specimen Sheet</t>
  </si>
  <si>
    <t xml:space="preserve">Full alphabet, numerals, punctuation in all weights/styles</t>
  </si>
  <si>
    <t xml:space="preserve">Web Font Files</t>
  </si>
  <si>
    <t xml:space="preserve">WOFF2 and fallback formats for web implementation</t>
  </si>
  <si>
    <t xml:space="preserve">WOFF2/WOFF/TTF</t>
  </si>
  <si>
    <t xml:space="preserve">Typography Hierarchy Reference Card</t>
  </si>
  <si>
    <t xml:space="preserve">Headline, subheading, body, caption specs with line-height and letter-spacing</t>
  </si>
  <si>
    <t xml:space="preserve">Voice &amp; Tone</t>
  </si>
  <si>
    <t xml:space="preserve">Brand Voice Guidelines</t>
  </si>
  <si>
    <t xml:space="preserve">Voice characteristics, tone variations (professional, approachable, authoritative, etc.)</t>
  </si>
  <si>
    <t xml:space="preserve">PDF/DOCX</t>
  </si>
  <si>
    <t xml:space="preserve">Boilerplate Copy Library</t>
  </si>
  <si>
    <t xml:space="preserve">About paragraphs (50, 100, 150 words), mission statement, program descriptions</t>
  </si>
  <si>
    <t xml:space="preserve">DOCX/PDF</t>
  </si>
  <si>
    <t xml:space="preserve">Include variations for each sub-brand</t>
  </si>
  <si>
    <t xml:space="preserve">Terminology Glossary</t>
  </si>
  <si>
    <t xml:space="preserve">FAI-specific terms, acronyms, preferred usage (e.g., AI, policy, tech)</t>
  </si>
  <si>
    <t xml:space="preserve">Email Signature Standard</t>
  </si>
  <si>
    <t xml:space="preserve">HTML and plain-text signature templates with logo, contact info</t>
  </si>
  <si>
    <t xml:space="preserve">HTML/DOCX</t>
  </si>
  <si>
    <t xml:space="preserve">Typography;Logo System</t>
  </si>
  <si>
    <t xml:space="preserve">Publications</t>
  </si>
  <si>
    <t xml:space="preserve">Web-Native Policy Paper Template</t>
  </si>
  <si>
    <t xml:space="preserve">HTML/CSS responsive template for publishing policy papers on website</t>
  </si>
  <si>
    <t xml:space="preserve">HTML/CSS</t>
  </si>
  <si>
    <t xml:space="preserve">Typography;Color System</t>
  </si>
  <si>
    <t xml:space="preserve">High priority - March 31 deadline</t>
  </si>
  <si>
    <t xml:space="preserve">Print Policy Brief Template</t>
  </si>
  <si>
    <t xml:space="preserve">2-4 page InDesign template for policy briefs</t>
  </si>
  <si>
    <t xml:space="preserve">INDD/PDF</t>
  </si>
  <si>
    <t xml:space="preserve">Typography;Color System;Logo System</t>
  </si>
  <si>
    <t xml:space="preserve">Print Research Report Template</t>
  </si>
  <si>
    <t xml:space="preserve">Multi-page InDesign template (8-20 pages typical)</t>
  </si>
  <si>
    <t xml:space="preserve">Print Booklet/Program Template</t>
  </si>
  <si>
    <t xml:space="preserve">InDesign template for event programs and booklets (Copyright Symposium, summits)</t>
  </si>
  <si>
    <t xml:space="preserve">Existing/Needs Update</t>
  </si>
  <si>
    <t xml:space="preserve">2026-02-27</t>
  </si>
  <si>
    <t xml:space="preserve">URGENT: Copyright Symposium Feb 27</t>
  </si>
  <si>
    <t xml:space="preserve">Blog Post Style Guide</t>
  </si>
  <si>
    <t xml:space="preserve">Formatting, structure, and design specs for Sanity CMS blog posts</t>
  </si>
  <si>
    <t xml:space="preserve">Book/Publication Cover Template</t>
  </si>
  <si>
    <t xml:space="preserve">InDesign template for external and internal publications</t>
  </si>
  <si>
    <t xml:space="preserve">2026-06-15</t>
  </si>
  <si>
    <t xml:space="preserve">Presentations</t>
  </si>
  <si>
    <t xml:space="preserve">Master FAI Deck Template</t>
  </si>
  <si>
    <t xml:space="preserve">PPTX and Keynote master slide templates with layouts</t>
  </si>
  <si>
    <t xml:space="preserve">PPTX/KEYNOTE</t>
  </si>
  <si>
    <t xml:space="preserve">URGENT: Update FAI deck Feb 27</t>
  </si>
  <si>
    <t xml:space="preserve">Internal Meeting Deck Template</t>
  </si>
  <si>
    <t xml:space="preserve">Simplified template for internal team presentations</t>
  </si>
  <si>
    <t xml:space="preserve">Webinar/Virtual Event Slide Template</t>
  </si>
  <si>
    <t xml:space="preserve">Template optimized for screen sharing and virtual delivery</t>
  </si>
  <si>
    <t xml:space="preserve">Speaker One-Sheet/Bio Template</t>
  </si>
  <si>
    <t xml:space="preserve">Half-page or one-page template for speaker bios with photo placement</t>
  </si>
  <si>
    <t xml:space="preserve">Social Media</t>
  </si>
  <si>
    <t xml:space="preserve">X/Twitter Post Templates</t>
  </si>
  <si>
    <t xml:space="preserve">Quote card, announcement, event promo, stat/data templates (Figma or PPTX)</t>
  </si>
  <si>
    <t xml:space="preserve">FIGMA/PPTX</t>
  </si>
  <si>
    <t xml:space="preserve">Color System;Typography;Logo System</t>
  </si>
  <si>
    <t xml:space="preserve">4 template variations</t>
  </si>
  <si>
    <t xml:space="preserve">LinkedIn Post Templates</t>
  </si>
  <si>
    <t xml:space="preserve">Article share, announcement, event templates (image specs)</t>
  </si>
  <si>
    <t xml:space="preserve">YouTube Thumbnail Template</t>
  </si>
  <si>
    <t xml:space="preserve">1280x720px template with text, logo, graphics specs</t>
  </si>
  <si>
    <t xml:space="preserve">YouTube Channel Art</t>
  </si>
  <si>
    <t xml:space="preserve">2560x1440px banner for channel header</t>
  </si>
  <si>
    <t xml:space="preserve">Logo System;Color System</t>
  </si>
  <si>
    <t xml:space="preserve">Instagram Templates</t>
  </si>
  <si>
    <t xml:space="preserve">1080x1350 (feed), 1080x1920 (story), carousel specs if applicable</t>
  </si>
  <si>
    <t xml:space="preserve">Social Media Avatar &amp; Profile Photo Specs</t>
  </si>
  <si>
    <t xml:space="preserve">Size, format, and brand guidelines for profile pictures</t>
  </si>
  <si>
    <t xml:space="preserve">PDF/FIGMA</t>
  </si>
  <si>
    <t xml:space="preserve">Podcast Cover Art Template (The Dynamist)</t>
  </si>
  <si>
    <t xml:space="preserve">3000x3000px Apple Podcasts and Spotify compliant template</t>
  </si>
  <si>
    <t xml:space="preserve">The Dynamist sub-brand</t>
  </si>
  <si>
    <t xml:space="preserve">Email / Newsletter</t>
  </si>
  <si>
    <t xml:space="preserve">The SCIF Newsletter Template</t>
  </si>
  <si>
    <t xml:space="preserve">HTML email template with responsive design (150, 600, 800px widths)</t>
  </si>
  <si>
    <t xml:space="preserve">HTML</t>
  </si>
  <si>
    <t xml:space="preserve">SCIF is weekly newsletter</t>
  </si>
  <si>
    <t xml:space="preserve">Event Invitation Email Template</t>
  </si>
  <si>
    <t xml:space="preserve">HTML email for event RSVPs with CTA buttons</t>
  </si>
  <si>
    <t xml:space="preserve">Typography;Logo System;Color System</t>
  </si>
  <si>
    <t xml:space="preserve">Fundraising/Donor Email Template</t>
  </si>
  <si>
    <t xml:space="preserve">HTML template for donor appeals and campaigns</t>
  </si>
  <si>
    <t xml:space="preserve">Internal Announcement Email Template</t>
  </si>
  <si>
    <t xml:space="preserve">HTML template for team announcements</t>
  </si>
  <si>
    <t xml:space="preserve">Email Signature Template</t>
  </si>
  <si>
    <t xml:space="preserve">Branded HTML and plain-text signature for staff</t>
  </si>
  <si>
    <t xml:space="preserve">Events</t>
  </si>
  <si>
    <t xml:space="preserve">Event Branding Toolkit</t>
  </si>
  <si>
    <t xml:space="preserve">Master template and guide for creating event identities within brand system</t>
  </si>
  <si>
    <t xml:space="preserve">PDF/INDD</t>
  </si>
  <si>
    <t xml:space="preserve">Logo System;Color System;Typography</t>
  </si>
  <si>
    <t xml:space="preserve">Framework for all events</t>
  </si>
  <si>
    <t xml:space="preserve">Event Program/Booklet Template</t>
  </si>
  <si>
    <t xml:space="preserve">Multi-page InDesign template for event programs</t>
  </si>
  <si>
    <t xml:space="preserve">Typography;Logo System;Event Branding Toolkit</t>
  </si>
  <si>
    <t xml:space="preserve">Used for summits, symposia</t>
  </si>
  <si>
    <t xml:space="preserve">Event Signage Template Set</t>
  </si>
  <si>
    <t xml:space="preserve">Podium sign, banner stand (8'x3'), directional signs, entrance sign</t>
  </si>
  <si>
    <t xml:space="preserve">4-6 templates</t>
  </si>
  <si>
    <t xml:space="preserve">Name Badge Template</t>
  </si>
  <si>
    <t xml:space="preserve">Badge template with attachment options (lanyard, pin, clip)</t>
  </si>
  <si>
    <t xml:space="preserve">Event Invitation (Digital - Luma)</t>
  </si>
  <si>
    <t xml:space="preserve">Luma event page design specifications</t>
  </si>
  <si>
    <t xml:space="preserve">Event Invitation (Print)</t>
  </si>
  <si>
    <t xml:space="preserve">Postcard or folded card template for print invites</t>
  </si>
  <si>
    <t xml:space="preserve">Step-and-Repeat/Photo Backdrop Template</t>
  </si>
  <si>
    <t xml:space="preserve">Branded photo backdrop specifications (8'x8' typical)</t>
  </si>
  <si>
    <t xml:space="preserve">2026-05-15</t>
  </si>
  <si>
    <t xml:space="preserve">For press/photography</t>
  </si>
  <si>
    <t xml:space="preserve">Event Slide Template</t>
  </si>
  <si>
    <t xml:space="preserve">PowerPoint/Keynote template for in-venue screens and transitions</t>
  </si>
  <si>
    <t xml:space="preserve">Table Tent/Place Card Template</t>
  </si>
  <si>
    <t xml:space="preserve">Small standing card for dining, table numbering, sponsor recognition</t>
  </si>
  <si>
    <t xml:space="preserve">Stationery</t>
  </si>
  <si>
    <t xml:space="preserve">Letterhead Template</t>
  </si>
  <si>
    <t xml:space="preserve">8.5x11" letterhead with header, footer, logo</t>
  </si>
  <si>
    <t xml:space="preserve">DOCX/PDF/INDD</t>
  </si>
  <si>
    <t xml:space="preserve">Logo System;Typography;Color System</t>
  </si>
  <si>
    <t xml:space="preserve">Business Card Template</t>
  </si>
  <si>
    <t xml:space="preserve">Standard 3.5x2" with full bleed</t>
  </si>
  <si>
    <t xml:space="preserve">Logo System;Typography</t>
  </si>
  <si>
    <t xml:space="preserve">Print-ready file needed</t>
  </si>
  <si>
    <t xml:space="preserve">Envelope Templates</t>
  </si>
  <si>
    <t xml:space="preserve">#10 (9.5x4.125") and A7 (5.25x7.25") templates</t>
  </si>
  <si>
    <t xml:space="preserve">Note Card/Thank You Card Template</t>
  </si>
  <si>
    <t xml:space="preserve">Folded 5x7" card for thank you notes</t>
  </si>
  <si>
    <t xml:space="preserve">Memo Template</t>
  </si>
  <si>
    <t xml:space="preserve">Branded memo pad template (half-page, full-page)</t>
  </si>
  <si>
    <t xml:space="preserve">Sub-Brand Guidelines</t>
  </si>
  <si>
    <t xml:space="preserve">Reboot Conference Identity Package</t>
  </si>
  <si>
    <t xml:space="preserve">Logo lockup, color palette, typography specs, visual system</t>
  </si>
  <si>
    <t xml:space="preserve">Logo System;Color System;Typography;Sub-Brand Lockup Templates</t>
  </si>
  <si>
    <t xml:space="preserve">2026-07-31</t>
  </si>
  <si>
    <t xml:space="preserve">Annual tech conference</t>
  </si>
  <si>
    <t xml:space="preserve">Energy Imperatives Summit Identity Package</t>
  </si>
  <si>
    <t xml:space="preserve">Identity, visual system, templates for summit branding</t>
  </si>
  <si>
    <t xml:space="preserve">Policy-focused summit</t>
  </si>
  <si>
    <t xml:space="preserve">The Dynamist Podcast Identity Package</t>
  </si>
  <si>
    <t xml:space="preserve">Logo, color palette, cover art, social templates for podcast</t>
  </si>
  <si>
    <t xml:space="preserve">Logo System;Color System;Podcast Cover Art Template</t>
  </si>
  <si>
    <t xml:space="preserve">2026-06-30</t>
  </si>
  <si>
    <t xml:space="preserve">Weekly podcast sub-brand</t>
  </si>
  <si>
    <t xml:space="preserve">FAI Labs Identity Package</t>
  </si>
  <si>
    <t xml:space="preserve">Distinct visual identity for research/innovation lab</t>
  </si>
  <si>
    <t xml:space="preserve">Policy Hackers Identity Package</t>
  </si>
  <si>
    <t xml:space="preserve">Identity for fellowship program</t>
  </si>
  <si>
    <t xml:space="preserve">Fellowship program branding</t>
  </si>
  <si>
    <t xml:space="preserve">Sub-Brand Identity Creation Template</t>
  </si>
  <si>
    <t xml:space="preserve">Template and process guide for creating future program identities</t>
  </si>
  <si>
    <t xml:space="preserve">2026-08-31</t>
  </si>
  <si>
    <t xml:space="preserve">Scalability framework</t>
  </si>
  <si>
    <t xml:space="preserve">Donor/Development Materials</t>
  </si>
  <si>
    <t xml:space="preserve">Annual Report Template</t>
  </si>
  <si>
    <t xml:space="preserve">Design template for year-end annual report</t>
  </si>
  <si>
    <t xml:space="preserve">Donor One-Pager Template</t>
  </si>
  <si>
    <t xml:space="preserve">One-page template for donor prospect overview</t>
  </si>
  <si>
    <t xml:space="preserve">Case for Support/Prospectus Template</t>
  </si>
  <si>
    <t xml:space="preserve">Multi-page template for funding pitches</t>
  </si>
  <si>
    <t xml:space="preserve">Grant Proposal Cover Template</t>
  </si>
  <si>
    <t xml:space="preserve">Cover page for grant submissions</t>
  </si>
  <si>
    <t xml:space="preserve">Impact Report Template</t>
  </si>
  <si>
    <t xml:space="preserve">Template for showcasing impact metrics and results</t>
  </si>
  <si>
    <t xml:space="preserve">Thank You/Acknowledgment Letter Template</t>
  </si>
  <si>
    <t xml:space="preserve">Branded template for donor thank you letters</t>
  </si>
  <si>
    <t xml:space="preserve">Swag &amp; Merchandise</t>
  </si>
  <si>
    <t xml:space="preserve">Sticker Designs</t>
  </si>
  <si>
    <t xml:space="preserve">Logo, tagline, and sub-brand stickers (die-cut and print specs)</t>
  </si>
  <si>
    <t xml:space="preserve">FIGMA/PPTX/PDF</t>
  </si>
  <si>
    <t xml:space="preserve">Multiple designs</t>
  </si>
  <si>
    <t xml:space="preserve">Apparel Templates</t>
  </si>
  <si>
    <t xml:space="preserve">T-shirt, hoodie, and jacket design templates (front, back, sleeve)</t>
  </si>
  <si>
    <t xml:space="preserve">FIGMA/PDF</t>
  </si>
  <si>
    <t xml:space="preserve">Tote Bag Template</t>
  </si>
  <si>
    <t xml:space="preserve">Design template for branded tote bags</t>
  </si>
  <si>
    <t xml:space="preserve">Lapel Pin/Enamel Pin Design</t>
  </si>
  <si>
    <t xml:space="preserve">Design and specs for custom enamel or lapel pins</t>
  </si>
  <si>
    <t xml:space="preserve">Drinkware Template</t>
  </si>
  <si>
    <t xml:space="preserve">Design template for mug, water bottle, coffee cup</t>
  </si>
  <si>
    <t xml:space="preserve">Notebook/Padfolio Cover</t>
  </si>
  <si>
    <t xml:space="preserve">Design template for branded notebooks and padfolios</t>
  </si>
  <si>
    <t xml:space="preserve">INDD/FIGMA/PDF</t>
  </si>
  <si>
    <t xml:space="preserve">Pen/Promotional Item Specs</t>
  </si>
  <si>
    <t xml:space="preserve">Specifications and design guidelines for promotional items</t>
  </si>
  <si>
    <t xml:space="preserve">Digital/Web</t>
  </si>
  <si>
    <t xml:space="preserve">Website Redesign Brief</t>
  </si>
  <si>
    <t xml:space="preserve">Strategy brief and design specifications for website refresh</t>
  </si>
  <si>
    <t xml:space="preserve">Web Component Style Guide</t>
  </si>
  <si>
    <t xml:space="preserve">Living documentation of buttons, cards, forms, navigation components</t>
  </si>
  <si>
    <t xml:space="preserve">HTML/PDF/FIGMA</t>
  </si>
  <si>
    <t xml:space="preserve">Open Graph/Social Sharing Image Template</t>
  </si>
  <si>
    <t xml:space="preserve">1200x630px templates for social media unfurls</t>
  </si>
  <si>
    <t xml:space="preserve">404 Page Design</t>
  </si>
  <si>
    <t xml:space="preserve">Custom 404 error page design</t>
  </si>
  <si>
    <t xml:space="preserve">FIGMA/HTML</t>
  </si>
  <si>
    <t xml:space="preserve">Loading/Transition Animations</t>
  </si>
  <si>
    <t xml:space="preserve">CSS/animation specs for loading and page transitions</t>
  </si>
  <si>
    <t xml:space="preserve">HTML/CSS/PDF</t>
  </si>
  <si>
    <t xml:space="preserve">QR Code Branded Template</t>
  </si>
  <si>
    <t xml:space="preserve">Specifications for branded/customized QR codes</t>
  </si>
  <si>
    <t xml:space="preserve">Video/Motion</t>
  </si>
  <si>
    <t xml:space="preserve">Video Intro/Outro Bumper</t>
  </si>
  <si>
    <t xml:space="preserve">10-15 second branded video bumper for content</t>
  </si>
  <si>
    <t xml:space="preserve">MP4/MOV/AFTER EFFECTS</t>
  </si>
  <si>
    <t xml:space="preserve">Lower Third Template</t>
  </si>
  <si>
    <t xml:space="preserve">Motion graphics template for on-screen lower third graphics</t>
  </si>
  <si>
    <t xml:space="preserve">AFTER EFFECTS/FIGMA</t>
  </si>
  <si>
    <t xml:space="preserve">Animated Logo</t>
  </si>
  <si>
    <t xml:space="preserve">Animated version of logo for video intro/use</t>
  </si>
  <si>
    <t xml:space="preserve">Motion Graphics Style Guide</t>
  </si>
  <si>
    <t xml:space="preserve">Guidelines for animation, transitions, effects consistency</t>
  </si>
  <si>
    <t xml:space="preserve">Color System;Typography</t>
  </si>
  <si>
    <t xml:space="preserve">Podcast Video Template</t>
  </si>
  <si>
    <t xml:space="preserve">Video template for podcast episodes (if video content planned)</t>
  </si>
  <si>
    <t xml:space="preserve">Governance</t>
  </si>
  <si>
    <t xml:space="preserve">Brand Approval Request Form</t>
  </si>
  <si>
    <t xml:space="preserve">Form for requesting brand usage approval for new initiatives</t>
  </si>
  <si>
    <t xml:space="preserve">New Sub-Brand Proposal Template</t>
  </si>
  <si>
    <t xml:space="preserve">Template for proposing new sub-brand or program identity</t>
  </si>
  <si>
    <t xml:space="preserve">Vendor Brand Usage Agreement</t>
  </si>
  <si>
    <t xml:space="preserve">Agreement template for vendor/partner brand usage</t>
  </si>
  <si>
    <t xml:space="preserve">Brand Audit Checklist (Annual)</t>
  </si>
  <si>
    <t xml:space="preserve">Annual checklist for auditing brand consistency</t>
  </si>
  <si>
    <t xml:space="preserve">Asset Request Form</t>
  </si>
  <si>
    <t xml:space="preserve">Form for internal teams to request branded assets</t>
  </si>
  <si>
    <t xml:space="preserve">FAI Brand Refresh - Template Audit Summary</t>
  </si>
  <si>
    <t xml:space="preserve">SUMMARY BY TIER</t>
  </si>
  <si>
    <t xml:space="preserve">Tier</t>
  </si>
  <si>
    <t xml:space="preserve">Total Items</t>
  </si>
  <si>
    <t xml:space="preserve">In Progress</t>
  </si>
  <si>
    <t xml:space="preserve">Complete</t>
  </si>
  <si>
    <t xml:space="preserve">Tier 1 (Foundation)</t>
  </si>
  <si>
    <t xml:space="preserve">Tier 2 (Core Templates)</t>
  </si>
  <si>
    <t xml:space="preserve">Tier 3 (Extended Applications)</t>
  </si>
  <si>
    <t xml:space="preserve">TOTAL</t>
  </si>
  <si>
    <t xml:space="preserve">SUMMARY BY CATEGORY</t>
  </si>
  <si>
    <t xml:space="preserve">Asset Name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</si>
</sst>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333333"/>
        <bgColor rgb="FF333300"/>
      </patternFill>
    </fill>
    <fill>
      <patternFill patternType="solid">
        <fgColor rgb="FFFDE8D0"/>
        <bgColor rgb="FFF0F0F0"/>
      </patternFill>
    </fill>
    <fill>
      <patternFill patternType="solid">
        <fgColor rgb="FFF0F0F0"/>
        <bgColor rgb="FFDDEBF7"/>
      </patternFill>
    </fill>
    <fill>
      <patternFill patternType="solid">
        <fgColor rgb="FFFFFFFF"/>
        <bgColor rgb="FFFFFFE0"/>
      </patternFill>
    </fill>
    <fill>
      <patternFill patternType="solid">
        <fgColor rgb="FFCCCCCC"/>
        <bgColor rgb="FFE0E0E0"/>
      </patternFill>
    </fill>
    <fill>
      <patternFill patternType="solid">
        <fgColor rgb="FFE0E0E0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333333"/>
          <bgColor rgb="FF000000"/>
        </patternFill>
      </fill>
    </dxf>
    <dxf>
      <fill>
        <patternFill patternType="solid">
          <fgColor rgb="FFF0F0F0"/>
          <bgColor rgb="FF000000"/>
        </patternFill>
      </fill>
    </dxf>
    <dxf>
      <fill>
        <patternFill patternType="solid">
          <fgColor rgb="FFFDE8D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ont>
        <name val="Arial"/>
        <charset val="1"/>
        <family val="0"/>
        <sz val="10"/>
      </font>
      <fill>
        <patternFill>
          <bgColor rgb="FFFFFFE0"/>
        </patternFill>
      </fill>
    </dxf>
    <dxf>
      <font>
        <name val="Arial"/>
        <charset val="1"/>
        <family val="0"/>
        <sz val="10"/>
      </font>
      <fill>
        <patternFill>
          <bgColor rgb="FFC6EFCE"/>
        </patternFill>
      </fill>
    </dxf>
    <dxf>
      <font>
        <name val="Arial"/>
        <charset val="1"/>
        <family val="0"/>
        <sz val="10"/>
      </font>
      <fill>
        <patternFill>
          <bgColor rgb="FFDDEBF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E0"/>
      <rgbColor rgb="FFDDEBF7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0F0"/>
      <rgbColor rgb="FFC6EFCE"/>
      <rgbColor rgb="FFFDE8D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35"/>
    <col collapsed="false" customWidth="true" hidden="false" outlineLevel="0" max="4" min="4" style="0" width="45"/>
    <col collapsed="false" customWidth="true" hidden="false" outlineLevel="0" max="5" min="5" style="0" width="15"/>
    <col collapsed="false" customWidth="true" hidden="false" outlineLevel="0" max="6" min="6" style="0" width="18"/>
    <col collapsed="false" customWidth="true" hidden="false" outlineLevel="0" max="7" min="7" style="0" width="40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35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23.85" hidden="false" customHeight="false" outlineLevel="0" collapsed="false">
      <c r="A2" s="2" t="n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/>
      <c r="H2" s="2" t="s">
        <v>15</v>
      </c>
      <c r="I2" s="2" t="s">
        <v>16</v>
      </c>
      <c r="J2" s="2" t="s">
        <v>17</v>
      </c>
    </row>
    <row r="3" customFormat="false" ht="23.85" hidden="false" customHeight="false" outlineLevel="0" collapsed="false">
      <c r="A3" s="2" t="n">
        <v>1</v>
      </c>
      <c r="B3" s="2" t="s">
        <v>10</v>
      </c>
      <c r="C3" s="2" t="s">
        <v>18</v>
      </c>
      <c r="D3" s="2" t="s">
        <v>19</v>
      </c>
      <c r="E3" s="2" t="s">
        <v>13</v>
      </c>
      <c r="F3" s="2" t="s">
        <v>14</v>
      </c>
      <c r="G3" s="2" t="s">
        <v>20</v>
      </c>
      <c r="H3" s="2" t="s">
        <v>15</v>
      </c>
      <c r="I3" s="2" t="s">
        <v>16</v>
      </c>
      <c r="J3" s="2"/>
    </row>
    <row r="4" customFormat="false" ht="35.05" hidden="false" customHeight="false" outlineLevel="0" collapsed="false">
      <c r="A4" s="2" t="n">
        <v>1</v>
      </c>
      <c r="B4" s="2" t="s">
        <v>10</v>
      </c>
      <c r="C4" s="2" t="s">
        <v>21</v>
      </c>
      <c r="D4" s="2" t="s">
        <v>22</v>
      </c>
      <c r="E4" s="2" t="s">
        <v>23</v>
      </c>
      <c r="F4" s="2" t="s">
        <v>14</v>
      </c>
      <c r="G4" s="2" t="s">
        <v>20</v>
      </c>
      <c r="H4" s="2" t="s">
        <v>24</v>
      </c>
      <c r="I4" s="2" t="s">
        <v>16</v>
      </c>
      <c r="J4" s="2" t="s">
        <v>25</v>
      </c>
    </row>
    <row r="5" customFormat="false" ht="23.85" hidden="false" customHeight="false" outlineLevel="0" collapsed="false">
      <c r="A5" s="2" t="n">
        <v>1</v>
      </c>
      <c r="B5" s="2" t="s">
        <v>10</v>
      </c>
      <c r="C5" s="2" t="s">
        <v>26</v>
      </c>
      <c r="D5" s="2" t="s">
        <v>27</v>
      </c>
      <c r="E5" s="2" t="s">
        <v>28</v>
      </c>
      <c r="F5" s="2" t="s">
        <v>14</v>
      </c>
      <c r="G5" s="2" t="s">
        <v>20</v>
      </c>
      <c r="H5" s="2" t="s">
        <v>29</v>
      </c>
      <c r="I5" s="2" t="s">
        <v>16</v>
      </c>
      <c r="J5" s="2"/>
    </row>
    <row r="6" customFormat="false" ht="23.85" hidden="false" customHeight="false" outlineLevel="0" collapsed="false">
      <c r="A6" s="2" t="n">
        <v>1</v>
      </c>
      <c r="B6" s="2" t="s">
        <v>10</v>
      </c>
      <c r="C6" s="2" t="s">
        <v>30</v>
      </c>
      <c r="D6" s="2" t="s">
        <v>31</v>
      </c>
      <c r="E6" s="2" t="s">
        <v>32</v>
      </c>
      <c r="F6" s="2" t="s">
        <v>14</v>
      </c>
      <c r="G6" s="2" t="s">
        <v>20</v>
      </c>
      <c r="H6" s="2" t="s">
        <v>24</v>
      </c>
      <c r="I6" s="2" t="s">
        <v>16</v>
      </c>
      <c r="J6" s="2"/>
    </row>
    <row r="7" customFormat="false" ht="23.85" hidden="false" customHeight="false" outlineLevel="0" collapsed="false">
      <c r="A7" s="2" t="n">
        <v>1</v>
      </c>
      <c r="B7" s="2" t="s">
        <v>10</v>
      </c>
      <c r="C7" s="2" t="s">
        <v>33</v>
      </c>
      <c r="D7" s="2" t="s">
        <v>34</v>
      </c>
      <c r="E7" s="2" t="s">
        <v>35</v>
      </c>
      <c r="F7" s="2" t="s">
        <v>14</v>
      </c>
      <c r="G7" s="2" t="s">
        <v>20</v>
      </c>
      <c r="H7" s="2" t="s">
        <v>24</v>
      </c>
      <c r="I7" s="2" t="s">
        <v>16</v>
      </c>
      <c r="J7" s="2"/>
    </row>
    <row r="8" customFormat="false" ht="23.85" hidden="false" customHeight="false" outlineLevel="0" collapsed="false">
      <c r="A8" s="2" t="n">
        <v>1</v>
      </c>
      <c r="B8" s="2" t="s">
        <v>36</v>
      </c>
      <c r="C8" s="2" t="s">
        <v>37</v>
      </c>
      <c r="D8" s="2" t="s">
        <v>38</v>
      </c>
      <c r="E8" s="2" t="s">
        <v>39</v>
      </c>
      <c r="F8" s="2" t="s">
        <v>14</v>
      </c>
      <c r="G8" s="2"/>
      <c r="H8" s="2" t="s">
        <v>15</v>
      </c>
      <c r="I8" s="2" t="s">
        <v>16</v>
      </c>
      <c r="J8" s="2" t="s">
        <v>40</v>
      </c>
    </row>
    <row r="9" customFormat="false" ht="23.85" hidden="false" customHeight="false" outlineLevel="0" collapsed="false">
      <c r="A9" s="2" t="n">
        <v>1</v>
      </c>
      <c r="B9" s="2" t="s">
        <v>36</v>
      </c>
      <c r="C9" s="2" t="s">
        <v>41</v>
      </c>
      <c r="D9" s="2" t="s">
        <v>42</v>
      </c>
      <c r="E9" s="2" t="s">
        <v>43</v>
      </c>
      <c r="F9" s="2" t="s">
        <v>14</v>
      </c>
      <c r="G9" s="2" t="s">
        <v>37</v>
      </c>
      <c r="H9" s="2" t="s">
        <v>44</v>
      </c>
      <c r="I9" s="2" t="s">
        <v>16</v>
      </c>
      <c r="J9" s="2"/>
    </row>
    <row r="10" customFormat="false" ht="23.85" hidden="false" customHeight="false" outlineLevel="0" collapsed="false">
      <c r="A10" s="2" t="n">
        <v>1</v>
      </c>
      <c r="B10" s="2" t="s">
        <v>36</v>
      </c>
      <c r="C10" s="2" t="s">
        <v>45</v>
      </c>
      <c r="D10" s="2" t="s">
        <v>46</v>
      </c>
      <c r="E10" s="2" t="s">
        <v>47</v>
      </c>
      <c r="F10" s="2" t="s">
        <v>14</v>
      </c>
      <c r="G10" s="2" t="s">
        <v>37</v>
      </c>
      <c r="H10" s="2" t="s">
        <v>29</v>
      </c>
      <c r="I10" s="2" t="s">
        <v>16</v>
      </c>
      <c r="J10" s="2"/>
    </row>
    <row r="11" customFormat="false" ht="15" hidden="false" customHeight="false" outlineLevel="0" collapsed="false">
      <c r="A11" s="2" t="n">
        <v>1</v>
      </c>
      <c r="B11" s="2" t="s">
        <v>36</v>
      </c>
      <c r="C11" s="2" t="s">
        <v>48</v>
      </c>
      <c r="D11" s="2" t="s">
        <v>49</v>
      </c>
      <c r="E11" s="2" t="s">
        <v>50</v>
      </c>
      <c r="F11" s="2" t="s">
        <v>14</v>
      </c>
      <c r="G11" s="2" t="s">
        <v>37</v>
      </c>
      <c r="H11" s="2" t="s">
        <v>24</v>
      </c>
      <c r="I11" s="2" t="s">
        <v>16</v>
      </c>
      <c r="J11" s="2"/>
    </row>
    <row r="12" customFormat="false" ht="23.85" hidden="false" customHeight="false" outlineLevel="0" collapsed="false">
      <c r="A12" s="2" t="n">
        <v>1</v>
      </c>
      <c r="B12" s="2" t="s">
        <v>51</v>
      </c>
      <c r="C12" s="2" t="s">
        <v>52</v>
      </c>
      <c r="D12" s="2" t="s">
        <v>53</v>
      </c>
      <c r="E12" s="2" t="s">
        <v>54</v>
      </c>
      <c r="F12" s="2" t="s">
        <v>14</v>
      </c>
      <c r="G12" s="2"/>
      <c r="H12" s="2" t="s">
        <v>55</v>
      </c>
      <c r="I12" s="2" t="s">
        <v>16</v>
      </c>
      <c r="J12" s="2"/>
    </row>
    <row r="13" customFormat="false" ht="23.85" hidden="false" customHeight="false" outlineLevel="0" collapsed="false">
      <c r="A13" s="2" t="n">
        <v>1</v>
      </c>
      <c r="B13" s="2" t="s">
        <v>51</v>
      </c>
      <c r="C13" s="2" t="s">
        <v>56</v>
      </c>
      <c r="D13" s="2" t="s">
        <v>57</v>
      </c>
      <c r="E13" s="2" t="s">
        <v>28</v>
      </c>
      <c r="F13" s="2" t="s">
        <v>14</v>
      </c>
      <c r="G13" s="2" t="s">
        <v>52</v>
      </c>
      <c r="H13" s="2" t="s">
        <v>15</v>
      </c>
      <c r="I13" s="2" t="s">
        <v>16</v>
      </c>
      <c r="J13" s="2"/>
    </row>
    <row r="14" customFormat="false" ht="23.85" hidden="false" customHeight="false" outlineLevel="0" collapsed="false">
      <c r="A14" s="2" t="n">
        <v>1</v>
      </c>
      <c r="B14" s="2" t="s">
        <v>51</v>
      </c>
      <c r="C14" s="2" t="s">
        <v>58</v>
      </c>
      <c r="D14" s="2" t="s">
        <v>59</v>
      </c>
      <c r="E14" s="2" t="s">
        <v>60</v>
      </c>
      <c r="F14" s="2" t="s">
        <v>14</v>
      </c>
      <c r="G14" s="2" t="s">
        <v>52</v>
      </c>
      <c r="H14" s="2" t="s">
        <v>44</v>
      </c>
      <c r="I14" s="2" t="s">
        <v>16</v>
      </c>
      <c r="J14" s="2"/>
    </row>
    <row r="15" customFormat="false" ht="23.85" hidden="false" customHeight="false" outlineLevel="0" collapsed="false">
      <c r="A15" s="2" t="n">
        <v>1</v>
      </c>
      <c r="B15" s="2" t="s">
        <v>51</v>
      </c>
      <c r="C15" s="2" t="s">
        <v>61</v>
      </c>
      <c r="D15" s="2" t="s">
        <v>62</v>
      </c>
      <c r="E15" s="2" t="s">
        <v>47</v>
      </c>
      <c r="F15" s="2" t="s">
        <v>14</v>
      </c>
      <c r="G15" s="2" t="s">
        <v>56</v>
      </c>
      <c r="H15" s="2" t="s">
        <v>15</v>
      </c>
      <c r="I15" s="2" t="s">
        <v>16</v>
      </c>
      <c r="J15" s="2"/>
    </row>
    <row r="16" customFormat="false" ht="23.85" hidden="false" customHeight="false" outlineLevel="0" collapsed="false">
      <c r="A16" s="2" t="n">
        <v>1</v>
      </c>
      <c r="B16" s="2" t="s">
        <v>63</v>
      </c>
      <c r="C16" s="2" t="s">
        <v>64</v>
      </c>
      <c r="D16" s="2" t="s">
        <v>65</v>
      </c>
      <c r="E16" s="2" t="s">
        <v>66</v>
      </c>
      <c r="F16" s="2" t="s">
        <v>14</v>
      </c>
      <c r="G16" s="2"/>
      <c r="H16" s="2" t="s">
        <v>29</v>
      </c>
      <c r="I16" s="2" t="s">
        <v>16</v>
      </c>
      <c r="J16" s="2"/>
    </row>
    <row r="17" customFormat="false" ht="23.85" hidden="false" customHeight="false" outlineLevel="0" collapsed="false">
      <c r="A17" s="2" t="n">
        <v>1</v>
      </c>
      <c r="B17" s="2" t="s">
        <v>63</v>
      </c>
      <c r="C17" s="2" t="s">
        <v>67</v>
      </c>
      <c r="D17" s="2" t="s">
        <v>68</v>
      </c>
      <c r="E17" s="2" t="s">
        <v>69</v>
      </c>
      <c r="F17" s="2" t="s">
        <v>14</v>
      </c>
      <c r="G17" s="2" t="s">
        <v>64</v>
      </c>
      <c r="H17" s="2" t="s">
        <v>29</v>
      </c>
      <c r="I17" s="2" t="s">
        <v>16</v>
      </c>
      <c r="J17" s="2" t="s">
        <v>70</v>
      </c>
    </row>
    <row r="18" customFormat="false" ht="23.85" hidden="false" customHeight="false" outlineLevel="0" collapsed="false">
      <c r="A18" s="2" t="n">
        <v>1</v>
      </c>
      <c r="B18" s="2" t="s">
        <v>63</v>
      </c>
      <c r="C18" s="2" t="s">
        <v>71</v>
      </c>
      <c r="D18" s="2" t="s">
        <v>72</v>
      </c>
      <c r="E18" s="2" t="s">
        <v>39</v>
      </c>
      <c r="F18" s="2" t="s">
        <v>14</v>
      </c>
      <c r="G18" s="2" t="s">
        <v>64</v>
      </c>
      <c r="H18" s="2" t="s">
        <v>29</v>
      </c>
      <c r="I18" s="2" t="s">
        <v>16</v>
      </c>
      <c r="J18" s="2"/>
    </row>
    <row r="19" customFormat="false" ht="23.85" hidden="false" customHeight="false" outlineLevel="0" collapsed="false">
      <c r="A19" s="2" t="n">
        <v>1</v>
      </c>
      <c r="B19" s="2" t="s">
        <v>63</v>
      </c>
      <c r="C19" s="2" t="s">
        <v>73</v>
      </c>
      <c r="D19" s="2" t="s">
        <v>74</v>
      </c>
      <c r="E19" s="2" t="s">
        <v>75</v>
      </c>
      <c r="F19" s="2" t="s">
        <v>14</v>
      </c>
      <c r="G19" s="2" t="s">
        <v>76</v>
      </c>
      <c r="H19" s="2" t="s">
        <v>44</v>
      </c>
      <c r="I19" s="2" t="s">
        <v>16</v>
      </c>
      <c r="J19" s="2"/>
    </row>
    <row r="20" customFormat="false" ht="23.85" hidden="false" customHeight="false" outlineLevel="0" collapsed="false">
      <c r="A20" s="3" t="n">
        <v>2</v>
      </c>
      <c r="B20" s="3" t="s">
        <v>77</v>
      </c>
      <c r="C20" s="3" t="s">
        <v>78</v>
      </c>
      <c r="D20" s="3" t="s">
        <v>79</v>
      </c>
      <c r="E20" s="3" t="s">
        <v>80</v>
      </c>
      <c r="F20" s="3" t="s">
        <v>14</v>
      </c>
      <c r="G20" s="3" t="s">
        <v>81</v>
      </c>
      <c r="H20" s="3" t="s">
        <v>15</v>
      </c>
      <c r="I20" s="3" t="s">
        <v>16</v>
      </c>
      <c r="J20" s="3" t="s">
        <v>82</v>
      </c>
    </row>
    <row r="21" customFormat="false" ht="15" hidden="false" customHeight="false" outlineLevel="0" collapsed="false">
      <c r="A21" s="3" t="n">
        <v>2</v>
      </c>
      <c r="B21" s="3" t="s">
        <v>77</v>
      </c>
      <c r="C21" s="3" t="s">
        <v>83</v>
      </c>
      <c r="D21" s="3" t="s">
        <v>84</v>
      </c>
      <c r="E21" s="3" t="s">
        <v>85</v>
      </c>
      <c r="F21" s="3" t="s">
        <v>14</v>
      </c>
      <c r="G21" s="3" t="s">
        <v>86</v>
      </c>
      <c r="H21" s="3" t="s">
        <v>29</v>
      </c>
      <c r="I21" s="3" t="s">
        <v>16</v>
      </c>
      <c r="J21" s="3"/>
    </row>
    <row r="22" customFormat="false" ht="15" hidden="false" customHeight="false" outlineLevel="0" collapsed="false">
      <c r="A22" s="3" t="n">
        <v>2</v>
      </c>
      <c r="B22" s="3" t="s">
        <v>77</v>
      </c>
      <c r="C22" s="3" t="s">
        <v>87</v>
      </c>
      <c r="D22" s="3" t="s">
        <v>88</v>
      </c>
      <c r="E22" s="3" t="s">
        <v>85</v>
      </c>
      <c r="F22" s="3" t="s">
        <v>14</v>
      </c>
      <c r="G22" s="3" t="s">
        <v>86</v>
      </c>
      <c r="H22" s="3" t="s">
        <v>24</v>
      </c>
      <c r="I22" s="3" t="s">
        <v>16</v>
      </c>
      <c r="J22" s="3"/>
    </row>
    <row r="23" customFormat="false" ht="23.85" hidden="false" customHeight="false" outlineLevel="0" collapsed="false">
      <c r="A23" s="3" t="n">
        <v>2</v>
      </c>
      <c r="B23" s="3" t="s">
        <v>77</v>
      </c>
      <c r="C23" s="3" t="s">
        <v>89</v>
      </c>
      <c r="D23" s="3" t="s">
        <v>90</v>
      </c>
      <c r="E23" s="3" t="s">
        <v>85</v>
      </c>
      <c r="F23" s="3" t="s">
        <v>91</v>
      </c>
      <c r="G23" s="3" t="s">
        <v>76</v>
      </c>
      <c r="H23" s="3" t="s">
        <v>92</v>
      </c>
      <c r="I23" s="3" t="s">
        <v>16</v>
      </c>
      <c r="J23" s="3" t="s">
        <v>93</v>
      </c>
    </row>
    <row r="24" customFormat="false" ht="23.85" hidden="false" customHeight="false" outlineLevel="0" collapsed="false">
      <c r="A24" s="3" t="n">
        <v>2</v>
      </c>
      <c r="B24" s="3" t="s">
        <v>77</v>
      </c>
      <c r="C24" s="3" t="s">
        <v>94</v>
      </c>
      <c r="D24" s="3" t="s">
        <v>95</v>
      </c>
      <c r="E24" s="3" t="s">
        <v>66</v>
      </c>
      <c r="F24" s="3" t="s">
        <v>14</v>
      </c>
      <c r="G24" s="3" t="s">
        <v>81</v>
      </c>
      <c r="H24" s="3" t="s">
        <v>24</v>
      </c>
      <c r="I24" s="3" t="s">
        <v>16</v>
      </c>
      <c r="J24" s="3"/>
    </row>
    <row r="25" customFormat="false" ht="15" hidden="false" customHeight="false" outlineLevel="0" collapsed="false">
      <c r="A25" s="3" t="n">
        <v>2</v>
      </c>
      <c r="B25" s="3" t="s">
        <v>77</v>
      </c>
      <c r="C25" s="3" t="s">
        <v>96</v>
      </c>
      <c r="D25" s="3" t="s">
        <v>97</v>
      </c>
      <c r="E25" s="3" t="s">
        <v>85</v>
      </c>
      <c r="F25" s="3" t="s">
        <v>14</v>
      </c>
      <c r="G25" s="3" t="s">
        <v>86</v>
      </c>
      <c r="H25" s="3" t="s">
        <v>98</v>
      </c>
      <c r="I25" s="3" t="s">
        <v>16</v>
      </c>
      <c r="J25" s="3"/>
    </row>
    <row r="26" customFormat="false" ht="23.85" hidden="false" customHeight="false" outlineLevel="0" collapsed="false">
      <c r="A26" s="3" t="n">
        <v>2</v>
      </c>
      <c r="B26" s="3" t="s">
        <v>99</v>
      </c>
      <c r="C26" s="3" t="s">
        <v>100</v>
      </c>
      <c r="D26" s="3" t="s">
        <v>101</v>
      </c>
      <c r="E26" s="3" t="s">
        <v>102</v>
      </c>
      <c r="F26" s="3" t="s">
        <v>91</v>
      </c>
      <c r="G26" s="3" t="s">
        <v>86</v>
      </c>
      <c r="H26" s="3" t="s">
        <v>92</v>
      </c>
      <c r="I26" s="3" t="s">
        <v>16</v>
      </c>
      <c r="J26" s="3" t="s">
        <v>103</v>
      </c>
    </row>
    <row r="27" customFormat="false" ht="15" hidden="false" customHeight="false" outlineLevel="0" collapsed="false">
      <c r="A27" s="3" t="n">
        <v>2</v>
      </c>
      <c r="B27" s="3" t="s">
        <v>99</v>
      </c>
      <c r="C27" s="3" t="s">
        <v>104</v>
      </c>
      <c r="D27" s="3" t="s">
        <v>105</v>
      </c>
      <c r="E27" s="3" t="s">
        <v>102</v>
      </c>
      <c r="F27" s="3" t="s">
        <v>14</v>
      </c>
      <c r="G27" s="3" t="s">
        <v>100</v>
      </c>
      <c r="H27" s="3" t="s">
        <v>29</v>
      </c>
      <c r="I27" s="3" t="s">
        <v>16</v>
      </c>
      <c r="J27" s="3"/>
    </row>
    <row r="28" customFormat="false" ht="23.85" hidden="false" customHeight="false" outlineLevel="0" collapsed="false">
      <c r="A28" s="3" t="n">
        <v>2</v>
      </c>
      <c r="B28" s="3" t="s">
        <v>99</v>
      </c>
      <c r="C28" s="3" t="s">
        <v>106</v>
      </c>
      <c r="D28" s="3" t="s">
        <v>107</v>
      </c>
      <c r="E28" s="3" t="s">
        <v>102</v>
      </c>
      <c r="F28" s="3" t="s">
        <v>14</v>
      </c>
      <c r="G28" s="3" t="s">
        <v>100</v>
      </c>
      <c r="H28" s="3" t="s">
        <v>24</v>
      </c>
      <c r="I28" s="3" t="s">
        <v>16</v>
      </c>
      <c r="J28" s="3"/>
    </row>
    <row r="29" customFormat="false" ht="23.85" hidden="false" customHeight="false" outlineLevel="0" collapsed="false">
      <c r="A29" s="3" t="n">
        <v>2</v>
      </c>
      <c r="B29" s="3" t="s">
        <v>99</v>
      </c>
      <c r="C29" s="3" t="s">
        <v>108</v>
      </c>
      <c r="D29" s="3" t="s">
        <v>109</v>
      </c>
      <c r="E29" s="3" t="s">
        <v>69</v>
      </c>
      <c r="F29" s="3" t="s">
        <v>14</v>
      </c>
      <c r="G29" s="3" t="s">
        <v>76</v>
      </c>
      <c r="H29" s="3" t="s">
        <v>44</v>
      </c>
      <c r="I29" s="3" t="s">
        <v>16</v>
      </c>
      <c r="J29" s="3"/>
    </row>
    <row r="30" customFormat="false" ht="23.85" hidden="false" customHeight="false" outlineLevel="0" collapsed="false">
      <c r="A30" s="3" t="n">
        <v>2</v>
      </c>
      <c r="B30" s="3" t="s">
        <v>110</v>
      </c>
      <c r="C30" s="3" t="s">
        <v>111</v>
      </c>
      <c r="D30" s="3" t="s">
        <v>112</v>
      </c>
      <c r="E30" s="3" t="s">
        <v>113</v>
      </c>
      <c r="F30" s="3" t="s">
        <v>14</v>
      </c>
      <c r="G30" s="3" t="s">
        <v>114</v>
      </c>
      <c r="H30" s="3" t="s">
        <v>24</v>
      </c>
      <c r="I30" s="3" t="s">
        <v>16</v>
      </c>
      <c r="J30" s="3" t="s">
        <v>115</v>
      </c>
    </row>
    <row r="31" customFormat="false" ht="23.85" hidden="false" customHeight="false" outlineLevel="0" collapsed="false">
      <c r="A31" s="3" t="n">
        <v>2</v>
      </c>
      <c r="B31" s="3" t="s">
        <v>110</v>
      </c>
      <c r="C31" s="3" t="s">
        <v>116</v>
      </c>
      <c r="D31" s="3" t="s">
        <v>117</v>
      </c>
      <c r="E31" s="3" t="s">
        <v>113</v>
      </c>
      <c r="F31" s="3" t="s">
        <v>14</v>
      </c>
      <c r="G31" s="3" t="s">
        <v>114</v>
      </c>
      <c r="H31" s="3" t="s">
        <v>24</v>
      </c>
      <c r="I31" s="3" t="s">
        <v>16</v>
      </c>
      <c r="J31" s="3"/>
    </row>
    <row r="32" customFormat="false" ht="15" hidden="false" customHeight="false" outlineLevel="0" collapsed="false">
      <c r="A32" s="3" t="n">
        <v>2</v>
      </c>
      <c r="B32" s="3" t="s">
        <v>110</v>
      </c>
      <c r="C32" s="3" t="s">
        <v>118</v>
      </c>
      <c r="D32" s="3" t="s">
        <v>119</v>
      </c>
      <c r="E32" s="3" t="s">
        <v>113</v>
      </c>
      <c r="F32" s="3" t="s">
        <v>14</v>
      </c>
      <c r="G32" s="3" t="s">
        <v>114</v>
      </c>
      <c r="H32" s="3" t="s">
        <v>24</v>
      </c>
      <c r="I32" s="3" t="s">
        <v>16</v>
      </c>
      <c r="J32" s="3"/>
    </row>
    <row r="33" customFormat="false" ht="15" hidden="false" customHeight="false" outlineLevel="0" collapsed="false">
      <c r="A33" s="3" t="n">
        <v>2</v>
      </c>
      <c r="B33" s="3" t="s">
        <v>110</v>
      </c>
      <c r="C33" s="3" t="s">
        <v>120</v>
      </c>
      <c r="D33" s="3" t="s">
        <v>121</v>
      </c>
      <c r="E33" s="3" t="s">
        <v>113</v>
      </c>
      <c r="F33" s="3" t="s">
        <v>14</v>
      </c>
      <c r="G33" s="3" t="s">
        <v>122</v>
      </c>
      <c r="H33" s="3" t="s">
        <v>24</v>
      </c>
      <c r="I33" s="3" t="s">
        <v>16</v>
      </c>
      <c r="J33" s="3"/>
    </row>
    <row r="34" customFormat="false" ht="23.85" hidden="false" customHeight="false" outlineLevel="0" collapsed="false">
      <c r="A34" s="3" t="n">
        <v>2</v>
      </c>
      <c r="B34" s="3" t="s">
        <v>110</v>
      </c>
      <c r="C34" s="3" t="s">
        <v>123</v>
      </c>
      <c r="D34" s="3" t="s">
        <v>124</v>
      </c>
      <c r="E34" s="3" t="s">
        <v>113</v>
      </c>
      <c r="F34" s="3" t="s">
        <v>14</v>
      </c>
      <c r="G34" s="3" t="s">
        <v>114</v>
      </c>
      <c r="H34" s="3" t="s">
        <v>24</v>
      </c>
      <c r="I34" s="3" t="s">
        <v>16</v>
      </c>
      <c r="J34" s="3"/>
    </row>
    <row r="35" customFormat="false" ht="15" hidden="false" customHeight="false" outlineLevel="0" collapsed="false">
      <c r="A35" s="3" t="n">
        <v>2</v>
      </c>
      <c r="B35" s="3" t="s">
        <v>110</v>
      </c>
      <c r="C35" s="3" t="s">
        <v>125</v>
      </c>
      <c r="D35" s="3" t="s">
        <v>126</v>
      </c>
      <c r="E35" s="3" t="s">
        <v>127</v>
      </c>
      <c r="F35" s="3" t="s">
        <v>14</v>
      </c>
      <c r="G35" s="3" t="s">
        <v>10</v>
      </c>
      <c r="H35" s="3" t="s">
        <v>44</v>
      </c>
      <c r="I35" s="3" t="s">
        <v>16</v>
      </c>
      <c r="J35" s="3"/>
    </row>
    <row r="36" customFormat="false" ht="23.85" hidden="false" customHeight="false" outlineLevel="0" collapsed="false">
      <c r="A36" s="3" t="n">
        <v>2</v>
      </c>
      <c r="B36" s="3" t="s">
        <v>110</v>
      </c>
      <c r="C36" s="3" t="s">
        <v>128</v>
      </c>
      <c r="D36" s="3" t="s">
        <v>129</v>
      </c>
      <c r="E36" s="3" t="s">
        <v>113</v>
      </c>
      <c r="F36" s="3" t="s">
        <v>14</v>
      </c>
      <c r="G36" s="3" t="s">
        <v>122</v>
      </c>
      <c r="H36" s="3" t="s">
        <v>24</v>
      </c>
      <c r="I36" s="3" t="s">
        <v>16</v>
      </c>
      <c r="J36" s="3" t="s">
        <v>130</v>
      </c>
    </row>
    <row r="37" customFormat="false" ht="23.85" hidden="false" customHeight="false" outlineLevel="0" collapsed="false">
      <c r="A37" s="3" t="n">
        <v>2</v>
      </c>
      <c r="B37" s="3" t="s">
        <v>131</v>
      </c>
      <c r="C37" s="3" t="s">
        <v>132</v>
      </c>
      <c r="D37" s="3" t="s">
        <v>133</v>
      </c>
      <c r="E37" s="3" t="s">
        <v>134</v>
      </c>
      <c r="F37" s="3" t="s">
        <v>14</v>
      </c>
      <c r="G37" s="3" t="s">
        <v>86</v>
      </c>
      <c r="H37" s="3" t="s">
        <v>29</v>
      </c>
      <c r="I37" s="3" t="s">
        <v>16</v>
      </c>
      <c r="J37" s="3" t="s">
        <v>135</v>
      </c>
    </row>
    <row r="38" customFormat="false" ht="15" hidden="false" customHeight="false" outlineLevel="0" collapsed="false">
      <c r="A38" s="3" t="n">
        <v>2</v>
      </c>
      <c r="B38" s="3" t="s">
        <v>131</v>
      </c>
      <c r="C38" s="3" t="s">
        <v>136</v>
      </c>
      <c r="D38" s="3" t="s">
        <v>137</v>
      </c>
      <c r="E38" s="3" t="s">
        <v>134</v>
      </c>
      <c r="F38" s="3" t="s">
        <v>14</v>
      </c>
      <c r="G38" s="3" t="s">
        <v>138</v>
      </c>
      <c r="H38" s="3" t="s">
        <v>29</v>
      </c>
      <c r="I38" s="3" t="s">
        <v>16</v>
      </c>
      <c r="J38" s="3"/>
    </row>
    <row r="39" customFormat="false" ht="15" hidden="false" customHeight="false" outlineLevel="0" collapsed="false">
      <c r="A39" s="3" t="n">
        <v>2</v>
      </c>
      <c r="B39" s="3" t="s">
        <v>131</v>
      </c>
      <c r="C39" s="3" t="s">
        <v>139</v>
      </c>
      <c r="D39" s="3" t="s">
        <v>140</v>
      </c>
      <c r="E39" s="3" t="s">
        <v>134</v>
      </c>
      <c r="F39" s="3" t="s">
        <v>14</v>
      </c>
      <c r="G39" s="3" t="s">
        <v>138</v>
      </c>
      <c r="H39" s="3" t="s">
        <v>24</v>
      </c>
      <c r="I39" s="3" t="s">
        <v>16</v>
      </c>
      <c r="J39" s="3"/>
    </row>
    <row r="40" customFormat="false" ht="15" hidden="false" customHeight="false" outlineLevel="0" collapsed="false">
      <c r="A40" s="3" t="n">
        <v>2</v>
      </c>
      <c r="B40" s="3" t="s">
        <v>131</v>
      </c>
      <c r="C40" s="3" t="s">
        <v>141</v>
      </c>
      <c r="D40" s="3" t="s">
        <v>142</v>
      </c>
      <c r="E40" s="3" t="s">
        <v>134</v>
      </c>
      <c r="F40" s="3" t="s">
        <v>14</v>
      </c>
      <c r="G40" s="3" t="s">
        <v>138</v>
      </c>
      <c r="H40" s="3" t="s">
        <v>29</v>
      </c>
      <c r="I40" s="3" t="s">
        <v>16</v>
      </c>
      <c r="J40" s="3"/>
    </row>
    <row r="41" customFormat="false" ht="15" hidden="false" customHeight="false" outlineLevel="0" collapsed="false">
      <c r="A41" s="3" t="n">
        <v>2</v>
      </c>
      <c r="B41" s="3" t="s">
        <v>131</v>
      </c>
      <c r="C41" s="3" t="s">
        <v>143</v>
      </c>
      <c r="D41" s="3" t="s">
        <v>144</v>
      </c>
      <c r="E41" s="3" t="s">
        <v>75</v>
      </c>
      <c r="F41" s="3" t="s">
        <v>14</v>
      </c>
      <c r="G41" s="3" t="s">
        <v>76</v>
      </c>
      <c r="H41" s="3" t="s">
        <v>44</v>
      </c>
      <c r="I41" s="3" t="s">
        <v>16</v>
      </c>
      <c r="J41" s="3"/>
    </row>
    <row r="42" customFormat="false" ht="23.85" hidden="false" customHeight="false" outlineLevel="0" collapsed="false">
      <c r="A42" s="3" t="n">
        <v>2</v>
      </c>
      <c r="B42" s="3" t="s">
        <v>145</v>
      </c>
      <c r="C42" s="3" t="s">
        <v>146</v>
      </c>
      <c r="D42" s="3" t="s">
        <v>147</v>
      </c>
      <c r="E42" s="3" t="s">
        <v>148</v>
      </c>
      <c r="F42" s="3" t="s">
        <v>14</v>
      </c>
      <c r="G42" s="3" t="s">
        <v>149</v>
      </c>
      <c r="H42" s="3" t="s">
        <v>24</v>
      </c>
      <c r="I42" s="3" t="s">
        <v>16</v>
      </c>
      <c r="J42" s="3" t="s">
        <v>150</v>
      </c>
    </row>
    <row r="43" customFormat="false" ht="15" hidden="false" customHeight="false" outlineLevel="0" collapsed="false">
      <c r="A43" s="3" t="n">
        <v>2</v>
      </c>
      <c r="B43" s="3" t="s">
        <v>145</v>
      </c>
      <c r="C43" s="3" t="s">
        <v>151</v>
      </c>
      <c r="D43" s="3" t="s">
        <v>152</v>
      </c>
      <c r="E43" s="3" t="s">
        <v>85</v>
      </c>
      <c r="F43" s="3" t="s">
        <v>14</v>
      </c>
      <c r="G43" s="3" t="s">
        <v>153</v>
      </c>
      <c r="H43" s="3" t="s">
        <v>29</v>
      </c>
      <c r="I43" s="3" t="s">
        <v>16</v>
      </c>
      <c r="J43" s="3" t="s">
        <v>154</v>
      </c>
    </row>
    <row r="44" customFormat="false" ht="23.85" hidden="false" customHeight="false" outlineLevel="0" collapsed="false">
      <c r="A44" s="3" t="n">
        <v>2</v>
      </c>
      <c r="B44" s="3" t="s">
        <v>145</v>
      </c>
      <c r="C44" s="3" t="s">
        <v>155</v>
      </c>
      <c r="D44" s="3" t="s">
        <v>156</v>
      </c>
      <c r="E44" s="3" t="s">
        <v>85</v>
      </c>
      <c r="F44" s="3" t="s">
        <v>14</v>
      </c>
      <c r="G44" s="3" t="s">
        <v>138</v>
      </c>
      <c r="H44" s="3" t="s">
        <v>24</v>
      </c>
      <c r="I44" s="3" t="s">
        <v>16</v>
      </c>
      <c r="J44" s="3" t="s">
        <v>157</v>
      </c>
    </row>
    <row r="45" customFormat="false" ht="23.85" hidden="false" customHeight="false" outlineLevel="0" collapsed="false">
      <c r="A45" s="3" t="n">
        <v>2</v>
      </c>
      <c r="B45" s="3" t="s">
        <v>145</v>
      </c>
      <c r="C45" s="3" t="s">
        <v>158</v>
      </c>
      <c r="D45" s="3" t="s">
        <v>159</v>
      </c>
      <c r="E45" s="3" t="s">
        <v>85</v>
      </c>
      <c r="F45" s="3" t="s">
        <v>14</v>
      </c>
      <c r="G45" s="3" t="s">
        <v>76</v>
      </c>
      <c r="H45" s="3" t="s">
        <v>29</v>
      </c>
      <c r="I45" s="3" t="s">
        <v>16</v>
      </c>
      <c r="J45" s="3"/>
    </row>
    <row r="46" customFormat="false" ht="15" hidden="false" customHeight="false" outlineLevel="0" collapsed="false">
      <c r="A46" s="3" t="n">
        <v>2</v>
      </c>
      <c r="B46" s="3" t="s">
        <v>145</v>
      </c>
      <c r="C46" s="3" t="s">
        <v>160</v>
      </c>
      <c r="D46" s="3" t="s">
        <v>161</v>
      </c>
      <c r="E46" s="3" t="s">
        <v>127</v>
      </c>
      <c r="F46" s="3" t="s">
        <v>14</v>
      </c>
      <c r="G46" s="3" t="s">
        <v>138</v>
      </c>
      <c r="H46" s="3" t="s">
        <v>29</v>
      </c>
      <c r="I46" s="3" t="s">
        <v>16</v>
      </c>
      <c r="J46" s="3"/>
    </row>
    <row r="47" customFormat="false" ht="15" hidden="false" customHeight="false" outlineLevel="0" collapsed="false">
      <c r="A47" s="3" t="n">
        <v>2</v>
      </c>
      <c r="B47" s="3" t="s">
        <v>145</v>
      </c>
      <c r="C47" s="3" t="s">
        <v>162</v>
      </c>
      <c r="D47" s="3" t="s">
        <v>163</v>
      </c>
      <c r="E47" s="3" t="s">
        <v>85</v>
      </c>
      <c r="F47" s="3" t="s">
        <v>14</v>
      </c>
      <c r="G47" s="3" t="s">
        <v>138</v>
      </c>
      <c r="H47" s="3" t="s">
        <v>29</v>
      </c>
      <c r="I47" s="3" t="s">
        <v>16</v>
      </c>
      <c r="J47" s="3"/>
    </row>
    <row r="48" customFormat="false" ht="23.85" hidden="false" customHeight="false" outlineLevel="0" collapsed="false">
      <c r="A48" s="3" t="n">
        <v>2</v>
      </c>
      <c r="B48" s="3" t="s">
        <v>145</v>
      </c>
      <c r="C48" s="3" t="s">
        <v>164</v>
      </c>
      <c r="D48" s="3" t="s">
        <v>165</v>
      </c>
      <c r="E48" s="3" t="s">
        <v>85</v>
      </c>
      <c r="F48" s="3" t="s">
        <v>14</v>
      </c>
      <c r="G48" s="3" t="s">
        <v>122</v>
      </c>
      <c r="H48" s="3" t="s">
        <v>166</v>
      </c>
      <c r="I48" s="3" t="s">
        <v>16</v>
      </c>
      <c r="J48" s="3" t="s">
        <v>167</v>
      </c>
    </row>
    <row r="49" customFormat="false" ht="23.85" hidden="false" customHeight="false" outlineLevel="0" collapsed="false">
      <c r="A49" s="3" t="n">
        <v>2</v>
      </c>
      <c r="B49" s="3" t="s">
        <v>145</v>
      </c>
      <c r="C49" s="3" t="s">
        <v>168</v>
      </c>
      <c r="D49" s="3" t="s">
        <v>169</v>
      </c>
      <c r="E49" s="3" t="s">
        <v>102</v>
      </c>
      <c r="F49" s="3" t="s">
        <v>14</v>
      </c>
      <c r="G49" s="3" t="s">
        <v>100</v>
      </c>
      <c r="H49" s="3" t="s">
        <v>24</v>
      </c>
      <c r="I49" s="3" t="s">
        <v>16</v>
      </c>
      <c r="J49" s="3"/>
    </row>
    <row r="50" customFormat="false" ht="23.85" hidden="false" customHeight="false" outlineLevel="0" collapsed="false">
      <c r="A50" s="3" t="n">
        <v>2</v>
      </c>
      <c r="B50" s="3" t="s">
        <v>145</v>
      </c>
      <c r="C50" s="3" t="s">
        <v>170</v>
      </c>
      <c r="D50" s="3" t="s">
        <v>171</v>
      </c>
      <c r="E50" s="3" t="s">
        <v>85</v>
      </c>
      <c r="F50" s="3" t="s">
        <v>14</v>
      </c>
      <c r="G50" s="3" t="s">
        <v>76</v>
      </c>
      <c r="H50" s="3" t="s">
        <v>29</v>
      </c>
      <c r="I50" s="3" t="s">
        <v>16</v>
      </c>
      <c r="J50" s="3"/>
    </row>
    <row r="51" customFormat="false" ht="15" hidden="false" customHeight="false" outlineLevel="0" collapsed="false">
      <c r="A51" s="3" t="n">
        <v>2</v>
      </c>
      <c r="B51" s="3" t="s">
        <v>172</v>
      </c>
      <c r="C51" s="3" t="s">
        <v>173</v>
      </c>
      <c r="D51" s="3" t="s">
        <v>174</v>
      </c>
      <c r="E51" s="3" t="s">
        <v>175</v>
      </c>
      <c r="F51" s="3" t="s">
        <v>14</v>
      </c>
      <c r="G51" s="3" t="s">
        <v>176</v>
      </c>
      <c r="H51" s="3" t="s">
        <v>29</v>
      </c>
      <c r="I51" s="3" t="s">
        <v>16</v>
      </c>
      <c r="J51" s="3"/>
    </row>
    <row r="52" customFormat="false" ht="15" hidden="false" customHeight="false" outlineLevel="0" collapsed="false">
      <c r="A52" s="3" t="n">
        <v>2</v>
      </c>
      <c r="B52" s="3" t="s">
        <v>172</v>
      </c>
      <c r="C52" s="3" t="s">
        <v>177</v>
      </c>
      <c r="D52" s="3" t="s">
        <v>178</v>
      </c>
      <c r="E52" s="3" t="s">
        <v>85</v>
      </c>
      <c r="F52" s="3" t="s">
        <v>14</v>
      </c>
      <c r="G52" s="3" t="s">
        <v>179</v>
      </c>
      <c r="H52" s="3" t="s">
        <v>29</v>
      </c>
      <c r="I52" s="3" t="s">
        <v>16</v>
      </c>
      <c r="J52" s="3" t="s">
        <v>180</v>
      </c>
    </row>
    <row r="53" customFormat="false" ht="15" hidden="false" customHeight="false" outlineLevel="0" collapsed="false">
      <c r="A53" s="3" t="n">
        <v>2</v>
      </c>
      <c r="B53" s="3" t="s">
        <v>172</v>
      </c>
      <c r="C53" s="3" t="s">
        <v>181</v>
      </c>
      <c r="D53" s="3" t="s">
        <v>182</v>
      </c>
      <c r="E53" s="3" t="s">
        <v>85</v>
      </c>
      <c r="F53" s="3" t="s">
        <v>14</v>
      </c>
      <c r="G53" s="3" t="s">
        <v>179</v>
      </c>
      <c r="H53" s="3" t="s">
        <v>29</v>
      </c>
      <c r="I53" s="3" t="s">
        <v>16</v>
      </c>
      <c r="J53" s="3"/>
    </row>
    <row r="54" customFormat="false" ht="15" hidden="false" customHeight="false" outlineLevel="0" collapsed="false">
      <c r="A54" s="3" t="n">
        <v>2</v>
      </c>
      <c r="B54" s="3" t="s">
        <v>172</v>
      </c>
      <c r="C54" s="3" t="s">
        <v>183</v>
      </c>
      <c r="D54" s="3" t="s">
        <v>184</v>
      </c>
      <c r="E54" s="3" t="s">
        <v>85</v>
      </c>
      <c r="F54" s="3" t="s">
        <v>14</v>
      </c>
      <c r="G54" s="3" t="s">
        <v>149</v>
      </c>
      <c r="H54" s="3" t="s">
        <v>29</v>
      </c>
      <c r="I54" s="3" t="s">
        <v>16</v>
      </c>
      <c r="J54" s="3"/>
    </row>
    <row r="55" customFormat="false" ht="15" hidden="false" customHeight="false" outlineLevel="0" collapsed="false">
      <c r="A55" s="3" t="n">
        <v>2</v>
      </c>
      <c r="B55" s="3" t="s">
        <v>172</v>
      </c>
      <c r="C55" s="3" t="s">
        <v>185</v>
      </c>
      <c r="D55" s="3" t="s">
        <v>186</v>
      </c>
      <c r="E55" s="3" t="s">
        <v>69</v>
      </c>
      <c r="F55" s="3" t="s">
        <v>14</v>
      </c>
      <c r="G55" s="3" t="s">
        <v>76</v>
      </c>
      <c r="H55" s="3" t="s">
        <v>29</v>
      </c>
      <c r="I55" s="3" t="s">
        <v>16</v>
      </c>
      <c r="J55" s="3"/>
    </row>
    <row r="56" customFormat="false" ht="23.85" hidden="false" customHeight="false" outlineLevel="0" collapsed="false">
      <c r="A56" s="4" t="n">
        <v>3</v>
      </c>
      <c r="B56" s="4" t="s">
        <v>187</v>
      </c>
      <c r="C56" s="4" t="s">
        <v>188</v>
      </c>
      <c r="D56" s="4" t="s">
        <v>189</v>
      </c>
      <c r="E56" s="4" t="s">
        <v>148</v>
      </c>
      <c r="F56" s="4" t="s">
        <v>14</v>
      </c>
      <c r="G56" s="4" t="s">
        <v>190</v>
      </c>
      <c r="H56" s="4" t="s">
        <v>191</v>
      </c>
      <c r="I56" s="4" t="s">
        <v>16</v>
      </c>
      <c r="J56" s="4" t="s">
        <v>192</v>
      </c>
    </row>
    <row r="57" customFormat="false" ht="23.85" hidden="false" customHeight="false" outlineLevel="0" collapsed="false">
      <c r="A57" s="4" t="n">
        <v>3</v>
      </c>
      <c r="B57" s="4" t="s">
        <v>187</v>
      </c>
      <c r="C57" s="4" t="s">
        <v>193</v>
      </c>
      <c r="D57" s="4" t="s">
        <v>194</v>
      </c>
      <c r="E57" s="4" t="s">
        <v>148</v>
      </c>
      <c r="F57" s="4" t="s">
        <v>14</v>
      </c>
      <c r="G57" s="4" t="s">
        <v>190</v>
      </c>
      <c r="H57" s="4" t="s">
        <v>191</v>
      </c>
      <c r="I57" s="4" t="s">
        <v>16</v>
      </c>
      <c r="J57" s="4" t="s">
        <v>195</v>
      </c>
    </row>
    <row r="58" customFormat="false" ht="23.85" hidden="false" customHeight="false" outlineLevel="0" collapsed="false">
      <c r="A58" s="4" t="n">
        <v>3</v>
      </c>
      <c r="B58" s="4" t="s">
        <v>187</v>
      </c>
      <c r="C58" s="4" t="s">
        <v>196</v>
      </c>
      <c r="D58" s="4" t="s">
        <v>197</v>
      </c>
      <c r="E58" s="4" t="s">
        <v>127</v>
      </c>
      <c r="F58" s="4" t="s">
        <v>14</v>
      </c>
      <c r="G58" s="4" t="s">
        <v>198</v>
      </c>
      <c r="H58" s="4" t="s">
        <v>199</v>
      </c>
      <c r="I58" s="4" t="s">
        <v>16</v>
      </c>
      <c r="J58" s="4" t="s">
        <v>200</v>
      </c>
    </row>
    <row r="59" customFormat="false" ht="23.85" hidden="false" customHeight="false" outlineLevel="0" collapsed="false">
      <c r="A59" s="4" t="n">
        <v>3</v>
      </c>
      <c r="B59" s="4" t="s">
        <v>187</v>
      </c>
      <c r="C59" s="4" t="s">
        <v>201</v>
      </c>
      <c r="D59" s="4" t="s">
        <v>202</v>
      </c>
      <c r="E59" s="4" t="s">
        <v>127</v>
      </c>
      <c r="F59" s="4" t="s">
        <v>14</v>
      </c>
      <c r="G59" s="4" t="s">
        <v>190</v>
      </c>
      <c r="H59" s="4" t="s">
        <v>191</v>
      </c>
      <c r="I59" s="4" t="s">
        <v>16</v>
      </c>
      <c r="J59" s="4"/>
    </row>
    <row r="60" customFormat="false" ht="23.85" hidden="false" customHeight="false" outlineLevel="0" collapsed="false">
      <c r="A60" s="4" t="n">
        <v>3</v>
      </c>
      <c r="B60" s="4" t="s">
        <v>187</v>
      </c>
      <c r="C60" s="4" t="s">
        <v>203</v>
      </c>
      <c r="D60" s="4" t="s">
        <v>204</v>
      </c>
      <c r="E60" s="4" t="s">
        <v>127</v>
      </c>
      <c r="F60" s="4" t="s">
        <v>14</v>
      </c>
      <c r="G60" s="4" t="s">
        <v>190</v>
      </c>
      <c r="H60" s="4" t="s">
        <v>191</v>
      </c>
      <c r="I60" s="4" t="s">
        <v>16</v>
      </c>
      <c r="J60" s="4" t="s">
        <v>205</v>
      </c>
    </row>
    <row r="61" customFormat="false" ht="23.85" hidden="false" customHeight="false" outlineLevel="0" collapsed="false">
      <c r="A61" s="4" t="n">
        <v>3</v>
      </c>
      <c r="B61" s="4" t="s">
        <v>187</v>
      </c>
      <c r="C61" s="4" t="s">
        <v>206</v>
      </c>
      <c r="D61" s="4" t="s">
        <v>207</v>
      </c>
      <c r="E61" s="4" t="s">
        <v>148</v>
      </c>
      <c r="F61" s="4" t="s">
        <v>14</v>
      </c>
      <c r="G61" s="4" t="s">
        <v>149</v>
      </c>
      <c r="H61" s="4" t="s">
        <v>208</v>
      </c>
      <c r="I61" s="4" t="s">
        <v>16</v>
      </c>
      <c r="J61" s="4" t="s">
        <v>209</v>
      </c>
    </row>
    <row r="62" customFormat="false" ht="23.85" hidden="false" customHeight="false" outlineLevel="0" collapsed="false">
      <c r="A62" s="4" t="n">
        <v>3</v>
      </c>
      <c r="B62" s="4" t="s">
        <v>210</v>
      </c>
      <c r="C62" s="4" t="s">
        <v>211</v>
      </c>
      <c r="D62" s="4" t="s">
        <v>212</v>
      </c>
      <c r="E62" s="4" t="s">
        <v>85</v>
      </c>
      <c r="F62" s="4" t="s">
        <v>14</v>
      </c>
      <c r="G62" s="4" t="s">
        <v>138</v>
      </c>
      <c r="H62" s="4" t="s">
        <v>208</v>
      </c>
      <c r="I62" s="4" t="s">
        <v>16</v>
      </c>
      <c r="J62" s="4"/>
    </row>
    <row r="63" customFormat="false" ht="23.85" hidden="false" customHeight="false" outlineLevel="0" collapsed="false">
      <c r="A63" s="4" t="n">
        <v>3</v>
      </c>
      <c r="B63" s="4" t="s">
        <v>210</v>
      </c>
      <c r="C63" s="4" t="s">
        <v>213</v>
      </c>
      <c r="D63" s="4" t="s">
        <v>214</v>
      </c>
      <c r="E63" s="4" t="s">
        <v>69</v>
      </c>
      <c r="F63" s="4" t="s">
        <v>14</v>
      </c>
      <c r="G63" s="4" t="s">
        <v>76</v>
      </c>
      <c r="H63" s="4" t="s">
        <v>191</v>
      </c>
      <c r="I63" s="4" t="s">
        <v>16</v>
      </c>
      <c r="J63" s="4"/>
    </row>
    <row r="64" customFormat="false" ht="23.85" hidden="false" customHeight="false" outlineLevel="0" collapsed="false">
      <c r="A64" s="4" t="n">
        <v>3</v>
      </c>
      <c r="B64" s="4" t="s">
        <v>210</v>
      </c>
      <c r="C64" s="4" t="s">
        <v>215</v>
      </c>
      <c r="D64" s="4" t="s">
        <v>216</v>
      </c>
      <c r="E64" s="4" t="s">
        <v>85</v>
      </c>
      <c r="F64" s="4" t="s">
        <v>14</v>
      </c>
      <c r="G64" s="4" t="s">
        <v>138</v>
      </c>
      <c r="H64" s="4" t="s">
        <v>208</v>
      </c>
      <c r="I64" s="4" t="s">
        <v>16</v>
      </c>
      <c r="J64" s="4"/>
    </row>
    <row r="65" customFormat="false" ht="23.85" hidden="false" customHeight="false" outlineLevel="0" collapsed="false">
      <c r="A65" s="4" t="n">
        <v>3</v>
      </c>
      <c r="B65" s="4" t="s">
        <v>210</v>
      </c>
      <c r="C65" s="4" t="s">
        <v>217</v>
      </c>
      <c r="D65" s="4" t="s">
        <v>218</v>
      </c>
      <c r="E65" s="4" t="s">
        <v>69</v>
      </c>
      <c r="F65" s="4" t="s">
        <v>14</v>
      </c>
      <c r="G65" s="4" t="s">
        <v>76</v>
      </c>
      <c r="H65" s="4" t="s">
        <v>191</v>
      </c>
      <c r="I65" s="4" t="s">
        <v>16</v>
      </c>
      <c r="J65" s="4"/>
    </row>
    <row r="66" customFormat="false" ht="23.85" hidden="false" customHeight="false" outlineLevel="0" collapsed="false">
      <c r="A66" s="4" t="n">
        <v>3</v>
      </c>
      <c r="B66" s="4" t="s">
        <v>210</v>
      </c>
      <c r="C66" s="4" t="s">
        <v>219</v>
      </c>
      <c r="D66" s="4" t="s">
        <v>220</v>
      </c>
      <c r="E66" s="4" t="s">
        <v>85</v>
      </c>
      <c r="F66" s="4" t="s">
        <v>14</v>
      </c>
      <c r="G66" s="4" t="s">
        <v>138</v>
      </c>
      <c r="H66" s="4" t="s">
        <v>208</v>
      </c>
      <c r="I66" s="4" t="s">
        <v>16</v>
      </c>
      <c r="J66" s="4"/>
    </row>
    <row r="67" customFormat="false" ht="23.85" hidden="false" customHeight="false" outlineLevel="0" collapsed="false">
      <c r="A67" s="4" t="n">
        <v>3</v>
      </c>
      <c r="B67" s="4" t="s">
        <v>210</v>
      </c>
      <c r="C67" s="4" t="s">
        <v>221</v>
      </c>
      <c r="D67" s="4" t="s">
        <v>222</v>
      </c>
      <c r="E67" s="4" t="s">
        <v>69</v>
      </c>
      <c r="F67" s="4" t="s">
        <v>14</v>
      </c>
      <c r="G67" s="4" t="s">
        <v>76</v>
      </c>
      <c r="H67" s="4" t="s">
        <v>199</v>
      </c>
      <c r="I67" s="4" t="s">
        <v>16</v>
      </c>
      <c r="J67" s="4"/>
    </row>
    <row r="68" customFormat="false" ht="23.85" hidden="false" customHeight="false" outlineLevel="0" collapsed="false">
      <c r="A68" s="4" t="n">
        <v>3</v>
      </c>
      <c r="B68" s="4" t="s">
        <v>223</v>
      </c>
      <c r="C68" s="4" t="s">
        <v>224</v>
      </c>
      <c r="D68" s="4" t="s">
        <v>225</v>
      </c>
      <c r="E68" s="4" t="s">
        <v>226</v>
      </c>
      <c r="F68" s="4" t="s">
        <v>14</v>
      </c>
      <c r="G68" s="4" t="s">
        <v>122</v>
      </c>
      <c r="H68" s="4" t="s">
        <v>208</v>
      </c>
      <c r="I68" s="4" t="s">
        <v>16</v>
      </c>
      <c r="J68" s="4" t="s">
        <v>227</v>
      </c>
    </row>
    <row r="69" customFormat="false" ht="23.85" hidden="false" customHeight="false" outlineLevel="0" collapsed="false">
      <c r="A69" s="4" t="n">
        <v>3</v>
      </c>
      <c r="B69" s="4" t="s">
        <v>223</v>
      </c>
      <c r="C69" s="4" t="s">
        <v>228</v>
      </c>
      <c r="D69" s="4" t="s">
        <v>229</v>
      </c>
      <c r="E69" s="4" t="s">
        <v>230</v>
      </c>
      <c r="F69" s="4" t="s">
        <v>14</v>
      </c>
      <c r="G69" s="4" t="s">
        <v>122</v>
      </c>
      <c r="H69" s="4" t="s">
        <v>208</v>
      </c>
      <c r="I69" s="4" t="s">
        <v>16</v>
      </c>
      <c r="J69" s="4"/>
    </row>
    <row r="70" customFormat="false" ht="15" hidden="false" customHeight="false" outlineLevel="0" collapsed="false">
      <c r="A70" s="4" t="n">
        <v>3</v>
      </c>
      <c r="B70" s="4" t="s">
        <v>223</v>
      </c>
      <c r="C70" s="4" t="s">
        <v>231</v>
      </c>
      <c r="D70" s="4" t="s">
        <v>232</v>
      </c>
      <c r="E70" s="4" t="s">
        <v>230</v>
      </c>
      <c r="F70" s="4" t="s">
        <v>14</v>
      </c>
      <c r="G70" s="4" t="s">
        <v>122</v>
      </c>
      <c r="H70" s="4" t="s">
        <v>208</v>
      </c>
      <c r="I70" s="4" t="s">
        <v>16</v>
      </c>
      <c r="J70" s="4"/>
    </row>
    <row r="71" customFormat="false" ht="15" hidden="false" customHeight="false" outlineLevel="0" collapsed="false">
      <c r="A71" s="4" t="n">
        <v>3</v>
      </c>
      <c r="B71" s="4" t="s">
        <v>223</v>
      </c>
      <c r="C71" s="4" t="s">
        <v>233</v>
      </c>
      <c r="D71" s="4" t="s">
        <v>234</v>
      </c>
      <c r="E71" s="4" t="s">
        <v>230</v>
      </c>
      <c r="F71" s="4" t="s">
        <v>14</v>
      </c>
      <c r="G71" s="4" t="s">
        <v>10</v>
      </c>
      <c r="H71" s="4" t="s">
        <v>208</v>
      </c>
      <c r="I71" s="4" t="s">
        <v>16</v>
      </c>
      <c r="J71" s="4"/>
    </row>
    <row r="72" customFormat="false" ht="15" hidden="false" customHeight="false" outlineLevel="0" collapsed="false">
      <c r="A72" s="4" t="n">
        <v>3</v>
      </c>
      <c r="B72" s="4" t="s">
        <v>223</v>
      </c>
      <c r="C72" s="4" t="s">
        <v>235</v>
      </c>
      <c r="D72" s="4" t="s">
        <v>236</v>
      </c>
      <c r="E72" s="4" t="s">
        <v>230</v>
      </c>
      <c r="F72" s="4" t="s">
        <v>14</v>
      </c>
      <c r="G72" s="4" t="s">
        <v>122</v>
      </c>
      <c r="H72" s="4" t="s">
        <v>208</v>
      </c>
      <c r="I72" s="4" t="s">
        <v>16</v>
      </c>
      <c r="J72" s="4"/>
    </row>
    <row r="73" customFormat="false" ht="23.85" hidden="false" customHeight="false" outlineLevel="0" collapsed="false">
      <c r="A73" s="4" t="n">
        <v>3</v>
      </c>
      <c r="B73" s="4" t="s">
        <v>223</v>
      </c>
      <c r="C73" s="4" t="s">
        <v>237</v>
      </c>
      <c r="D73" s="4" t="s">
        <v>238</v>
      </c>
      <c r="E73" s="4" t="s">
        <v>239</v>
      </c>
      <c r="F73" s="4" t="s">
        <v>14</v>
      </c>
      <c r="G73" s="4" t="s">
        <v>149</v>
      </c>
      <c r="H73" s="4" t="s">
        <v>208</v>
      </c>
      <c r="I73" s="4" t="s">
        <v>16</v>
      </c>
      <c r="J73" s="4"/>
    </row>
    <row r="74" customFormat="false" ht="23.85" hidden="false" customHeight="false" outlineLevel="0" collapsed="false">
      <c r="A74" s="4" t="n">
        <v>3</v>
      </c>
      <c r="B74" s="4" t="s">
        <v>223</v>
      </c>
      <c r="C74" s="4" t="s">
        <v>240</v>
      </c>
      <c r="D74" s="4" t="s">
        <v>241</v>
      </c>
      <c r="E74" s="4" t="s">
        <v>54</v>
      </c>
      <c r="F74" s="4" t="s">
        <v>14</v>
      </c>
      <c r="G74" s="4" t="s">
        <v>10</v>
      </c>
      <c r="H74" s="4" t="s">
        <v>208</v>
      </c>
      <c r="I74" s="4" t="s">
        <v>16</v>
      </c>
      <c r="J74" s="4"/>
    </row>
    <row r="75" customFormat="false" ht="23.85" hidden="false" customHeight="false" outlineLevel="0" collapsed="false">
      <c r="A75" s="4" t="n">
        <v>3</v>
      </c>
      <c r="B75" s="4" t="s">
        <v>242</v>
      </c>
      <c r="C75" s="4" t="s">
        <v>243</v>
      </c>
      <c r="D75" s="4" t="s">
        <v>244</v>
      </c>
      <c r="E75" s="4" t="s">
        <v>127</v>
      </c>
      <c r="F75" s="4" t="s">
        <v>14</v>
      </c>
      <c r="G75" s="4" t="s">
        <v>149</v>
      </c>
      <c r="H75" s="4" t="s">
        <v>191</v>
      </c>
      <c r="I75" s="4" t="s">
        <v>16</v>
      </c>
      <c r="J75" s="4"/>
    </row>
    <row r="76" customFormat="false" ht="23.85" hidden="false" customHeight="false" outlineLevel="0" collapsed="false">
      <c r="A76" s="4" t="n">
        <v>3</v>
      </c>
      <c r="B76" s="4" t="s">
        <v>242</v>
      </c>
      <c r="C76" s="4" t="s">
        <v>245</v>
      </c>
      <c r="D76" s="4" t="s">
        <v>246</v>
      </c>
      <c r="E76" s="4" t="s">
        <v>247</v>
      </c>
      <c r="F76" s="4" t="s">
        <v>14</v>
      </c>
      <c r="G76" s="4" t="s">
        <v>81</v>
      </c>
      <c r="H76" s="4" t="s">
        <v>208</v>
      </c>
      <c r="I76" s="4" t="s">
        <v>16</v>
      </c>
      <c r="J76" s="4"/>
    </row>
    <row r="77" customFormat="false" ht="23.85" hidden="false" customHeight="false" outlineLevel="0" collapsed="false">
      <c r="A77" s="4" t="n">
        <v>3</v>
      </c>
      <c r="B77" s="4" t="s">
        <v>242</v>
      </c>
      <c r="C77" s="4" t="s">
        <v>248</v>
      </c>
      <c r="D77" s="4" t="s">
        <v>249</v>
      </c>
      <c r="E77" s="4" t="s">
        <v>113</v>
      </c>
      <c r="F77" s="4" t="s">
        <v>14</v>
      </c>
      <c r="G77" s="4" t="s">
        <v>149</v>
      </c>
      <c r="H77" s="4" t="s">
        <v>191</v>
      </c>
      <c r="I77" s="4" t="s">
        <v>16</v>
      </c>
      <c r="J77" s="4"/>
    </row>
    <row r="78" customFormat="false" ht="15" hidden="false" customHeight="false" outlineLevel="0" collapsed="false">
      <c r="A78" s="4" t="n">
        <v>3</v>
      </c>
      <c r="B78" s="4" t="s">
        <v>242</v>
      </c>
      <c r="C78" s="4" t="s">
        <v>250</v>
      </c>
      <c r="D78" s="4" t="s">
        <v>251</v>
      </c>
      <c r="E78" s="4" t="s">
        <v>252</v>
      </c>
      <c r="F78" s="4" t="s">
        <v>14</v>
      </c>
      <c r="G78" s="4" t="s">
        <v>149</v>
      </c>
      <c r="H78" s="4" t="s">
        <v>191</v>
      </c>
      <c r="I78" s="4" t="s">
        <v>16</v>
      </c>
      <c r="J78" s="4"/>
    </row>
    <row r="79" customFormat="false" ht="15" hidden="false" customHeight="false" outlineLevel="0" collapsed="false">
      <c r="A79" s="4" t="n">
        <v>3</v>
      </c>
      <c r="B79" s="4" t="s">
        <v>242</v>
      </c>
      <c r="C79" s="4" t="s">
        <v>253</v>
      </c>
      <c r="D79" s="4" t="s">
        <v>254</v>
      </c>
      <c r="E79" s="4" t="s">
        <v>255</v>
      </c>
      <c r="F79" s="4" t="s">
        <v>14</v>
      </c>
      <c r="G79" s="4" t="s">
        <v>36</v>
      </c>
      <c r="H79" s="4" t="s">
        <v>208</v>
      </c>
      <c r="I79" s="4" t="s">
        <v>16</v>
      </c>
      <c r="J79" s="4"/>
    </row>
    <row r="80" customFormat="false" ht="15" hidden="false" customHeight="false" outlineLevel="0" collapsed="false">
      <c r="A80" s="4" t="n">
        <v>3</v>
      </c>
      <c r="B80" s="4" t="s">
        <v>242</v>
      </c>
      <c r="C80" s="4" t="s">
        <v>256</v>
      </c>
      <c r="D80" s="4" t="s">
        <v>257</v>
      </c>
      <c r="E80" s="4" t="s">
        <v>230</v>
      </c>
      <c r="F80" s="4" t="s">
        <v>14</v>
      </c>
      <c r="G80" s="4" t="s">
        <v>122</v>
      </c>
      <c r="H80" s="4" t="s">
        <v>191</v>
      </c>
      <c r="I80" s="4" t="s">
        <v>16</v>
      </c>
      <c r="J80" s="4"/>
    </row>
    <row r="81" customFormat="false" ht="35.05" hidden="false" customHeight="false" outlineLevel="0" collapsed="false">
      <c r="A81" s="4" t="n">
        <v>3</v>
      </c>
      <c r="B81" s="4" t="s">
        <v>258</v>
      </c>
      <c r="C81" s="4" t="s">
        <v>259</v>
      </c>
      <c r="D81" s="4" t="s">
        <v>260</v>
      </c>
      <c r="E81" s="4" t="s">
        <v>261</v>
      </c>
      <c r="F81" s="4" t="s">
        <v>14</v>
      </c>
      <c r="G81" s="4" t="s">
        <v>149</v>
      </c>
      <c r="H81" s="4" t="s">
        <v>208</v>
      </c>
      <c r="I81" s="4" t="s">
        <v>16</v>
      </c>
      <c r="J81" s="4"/>
    </row>
    <row r="82" customFormat="false" ht="23.85" hidden="false" customHeight="false" outlineLevel="0" collapsed="false">
      <c r="A82" s="4" t="n">
        <v>3</v>
      </c>
      <c r="B82" s="4" t="s">
        <v>258</v>
      </c>
      <c r="C82" s="4" t="s">
        <v>262</v>
      </c>
      <c r="D82" s="4" t="s">
        <v>263</v>
      </c>
      <c r="E82" s="4" t="s">
        <v>264</v>
      </c>
      <c r="F82" s="4" t="s">
        <v>14</v>
      </c>
      <c r="G82" s="4" t="s">
        <v>149</v>
      </c>
      <c r="H82" s="4" t="s">
        <v>208</v>
      </c>
      <c r="I82" s="4" t="s">
        <v>16</v>
      </c>
      <c r="J82" s="4"/>
    </row>
    <row r="83" customFormat="false" ht="35.05" hidden="false" customHeight="false" outlineLevel="0" collapsed="false">
      <c r="A83" s="4" t="n">
        <v>3</v>
      </c>
      <c r="B83" s="4" t="s">
        <v>258</v>
      </c>
      <c r="C83" s="4" t="s">
        <v>265</v>
      </c>
      <c r="D83" s="4" t="s">
        <v>266</v>
      </c>
      <c r="E83" s="4" t="s">
        <v>261</v>
      </c>
      <c r="F83" s="4" t="s">
        <v>14</v>
      </c>
      <c r="G83" s="4" t="s">
        <v>10</v>
      </c>
      <c r="H83" s="4" t="s">
        <v>208</v>
      </c>
      <c r="I83" s="4" t="s">
        <v>16</v>
      </c>
      <c r="J83" s="4"/>
    </row>
    <row r="84" customFormat="false" ht="23.85" hidden="false" customHeight="false" outlineLevel="0" collapsed="false">
      <c r="A84" s="4" t="n">
        <v>3</v>
      </c>
      <c r="B84" s="4" t="s">
        <v>258</v>
      </c>
      <c r="C84" s="4" t="s">
        <v>267</v>
      </c>
      <c r="D84" s="4" t="s">
        <v>268</v>
      </c>
      <c r="E84" s="4" t="s">
        <v>127</v>
      </c>
      <c r="F84" s="4" t="s">
        <v>14</v>
      </c>
      <c r="G84" s="4" t="s">
        <v>269</v>
      </c>
      <c r="H84" s="4" t="s">
        <v>208</v>
      </c>
      <c r="I84" s="4" t="s">
        <v>16</v>
      </c>
      <c r="J84" s="4"/>
    </row>
    <row r="85" customFormat="false" ht="23.85" hidden="false" customHeight="false" outlineLevel="0" collapsed="false">
      <c r="A85" s="4" t="n">
        <v>3</v>
      </c>
      <c r="B85" s="4" t="s">
        <v>258</v>
      </c>
      <c r="C85" s="4" t="s">
        <v>270</v>
      </c>
      <c r="D85" s="4" t="s">
        <v>271</v>
      </c>
      <c r="E85" s="4" t="s">
        <v>264</v>
      </c>
      <c r="F85" s="4" t="s">
        <v>14</v>
      </c>
      <c r="G85" s="4" t="s">
        <v>149</v>
      </c>
      <c r="H85" s="4" t="s">
        <v>208</v>
      </c>
      <c r="I85" s="4" t="s">
        <v>16</v>
      </c>
      <c r="J85" s="4"/>
    </row>
    <row r="86" customFormat="false" ht="23.85" hidden="false" customHeight="false" outlineLevel="0" collapsed="false">
      <c r="A86" s="4" t="n">
        <v>3</v>
      </c>
      <c r="B86" s="4" t="s">
        <v>272</v>
      </c>
      <c r="C86" s="4" t="s">
        <v>273</v>
      </c>
      <c r="D86" s="4" t="s">
        <v>274</v>
      </c>
      <c r="E86" s="4" t="s">
        <v>39</v>
      </c>
      <c r="F86" s="4" t="s">
        <v>14</v>
      </c>
      <c r="G86" s="4" t="s">
        <v>63</v>
      </c>
      <c r="H86" s="4" t="s">
        <v>199</v>
      </c>
      <c r="I86" s="4" t="s">
        <v>16</v>
      </c>
      <c r="J86" s="4"/>
    </row>
    <row r="87" customFormat="false" ht="23.85" hidden="false" customHeight="false" outlineLevel="0" collapsed="false">
      <c r="A87" s="4" t="n">
        <v>3</v>
      </c>
      <c r="B87" s="4" t="s">
        <v>272</v>
      </c>
      <c r="C87" s="4" t="s">
        <v>275</v>
      </c>
      <c r="D87" s="4" t="s">
        <v>276</v>
      </c>
      <c r="E87" s="4" t="s">
        <v>69</v>
      </c>
      <c r="F87" s="4" t="s">
        <v>14</v>
      </c>
      <c r="G87" s="4" t="s">
        <v>64</v>
      </c>
      <c r="H87" s="4" t="s">
        <v>199</v>
      </c>
      <c r="I87" s="4" t="s">
        <v>16</v>
      </c>
      <c r="J87" s="4"/>
    </row>
    <row r="88" customFormat="false" ht="15" hidden="false" customHeight="false" outlineLevel="0" collapsed="false">
      <c r="A88" s="4" t="n">
        <v>3</v>
      </c>
      <c r="B88" s="4" t="s">
        <v>272</v>
      </c>
      <c r="C88" s="4" t="s">
        <v>277</v>
      </c>
      <c r="D88" s="4" t="s">
        <v>278</v>
      </c>
      <c r="E88" s="4" t="s">
        <v>69</v>
      </c>
      <c r="F88" s="4" t="s">
        <v>14</v>
      </c>
      <c r="G88" s="4"/>
      <c r="H88" s="4" t="s">
        <v>191</v>
      </c>
      <c r="I88" s="4" t="s">
        <v>16</v>
      </c>
      <c r="J88" s="4"/>
    </row>
    <row r="89" customFormat="false" ht="15" hidden="false" customHeight="false" outlineLevel="0" collapsed="false">
      <c r="A89" s="4" t="n">
        <v>3</v>
      </c>
      <c r="B89" s="4" t="s">
        <v>272</v>
      </c>
      <c r="C89" s="4" t="s">
        <v>279</v>
      </c>
      <c r="D89" s="4" t="s">
        <v>280</v>
      </c>
      <c r="E89" s="4" t="s">
        <v>39</v>
      </c>
      <c r="F89" s="4" t="s">
        <v>14</v>
      </c>
      <c r="G89" s="4"/>
      <c r="H89" s="4" t="s">
        <v>208</v>
      </c>
      <c r="I89" s="4" t="s">
        <v>16</v>
      </c>
      <c r="J89" s="4"/>
    </row>
    <row r="90" customFormat="false" ht="15" hidden="false" customHeight="false" outlineLevel="0" collapsed="false">
      <c r="A90" s="4" t="n">
        <v>3</v>
      </c>
      <c r="B90" s="4" t="s">
        <v>272</v>
      </c>
      <c r="C90" s="4" t="s">
        <v>281</v>
      </c>
      <c r="D90" s="4" t="s">
        <v>282</v>
      </c>
      <c r="E90" s="4" t="s">
        <v>39</v>
      </c>
      <c r="F90" s="4" t="s">
        <v>14</v>
      </c>
      <c r="G90" s="4"/>
      <c r="H90" s="4" t="s">
        <v>199</v>
      </c>
      <c r="I90" s="4" t="s">
        <v>16</v>
      </c>
      <c r="J90" s="4"/>
    </row>
  </sheetData>
  <autoFilter ref="A1:J90"/>
  <conditionalFormatting sqref="F2:F90">
    <cfRule type="cellIs" priority="2" operator="equal" aboveAverage="0" equalAverage="0" bottom="0" percent="0" rank="0" text="" dxfId="6">
      <formula>"In Progress"</formula>
    </cfRule>
    <cfRule type="cellIs" priority="3" operator="equal" aboveAverage="0" equalAverage="0" bottom="0" percent="0" rank="0" text="" dxfId="7">
      <formula>"Complete"</formula>
    </cfRule>
    <cfRule type="cellIs" priority="4" operator="equal" aboveAverage="0" equalAverage="0" bottom="0" percent="0" rank="0" text="" dxfId="8">
      <formula>"Existing/Needs Update"</formula>
    </cfRule>
  </conditionalFormatting>
  <dataValidations count="1">
    <dataValidation allowBlank="false" error="Please select a valid status" errorStyle="stop" errorTitle="Invalid Status" operator="between" showDropDown="false" showErrorMessage="false" showInputMessage="false" sqref="F2:F90" type="list">
      <formula1>"Not Started,In Progress,Existing/Needs Update,Complete"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5"/>
    <col collapsed="false" customWidth="true" hidden="false" outlineLevel="0" max="5" min="5" style="0" width="20"/>
    <col collapsed="false" customWidth="true" hidden="false" outlineLevel="0" max="6" min="6" style="0" width="15"/>
  </cols>
  <sheetData>
    <row r="1" customFormat="false" ht="17.35" hidden="false" customHeight="false" outlineLevel="0" collapsed="false">
      <c r="A1" s="5" t="s">
        <v>283</v>
      </c>
      <c r="B1" s="5"/>
      <c r="C1" s="5"/>
      <c r="D1" s="5"/>
    </row>
    <row r="3" customFormat="false" ht="15" hidden="false" customHeight="false" outlineLevel="0" collapsed="false">
      <c r="A3" s="6" t="s">
        <v>284</v>
      </c>
    </row>
    <row r="4" customFormat="false" ht="15" hidden="false" customHeight="false" outlineLevel="0" collapsed="false">
      <c r="A4" s="7" t="s">
        <v>285</v>
      </c>
      <c r="B4" s="7" t="s">
        <v>286</v>
      </c>
      <c r="C4" s="7" t="s">
        <v>14</v>
      </c>
      <c r="D4" s="7" t="s">
        <v>287</v>
      </c>
      <c r="E4" s="7" t="s">
        <v>91</v>
      </c>
      <c r="F4" s="7" t="s">
        <v>288</v>
      </c>
    </row>
    <row r="5" customFormat="false" ht="15" hidden="false" customHeight="false" outlineLevel="0" collapsed="false">
      <c r="A5" s="8" t="s">
        <v>289</v>
      </c>
      <c r="B5" s="8" t="n">
        <f aca="false">COUNTIF('Template Audit'!A:A,1)</f>
        <v>18</v>
      </c>
      <c r="C5" s="8" t="n">
        <f aca="false">COUNTIFS('Template Audit'!A:A,1,'Template Audit'!F:F,"Not Started")</f>
        <v>18</v>
      </c>
      <c r="D5" s="8" t="n">
        <f aca="false">COUNTIFS('Template Audit'!A:A,1,'Template Audit'!F:F,"In Progress")</f>
        <v>0</v>
      </c>
      <c r="E5" s="8" t="n">
        <f aca="false">COUNTIFS('Template Audit'!A:A,1,'Template Audit'!F:F,"Existing/Needs Update")</f>
        <v>0</v>
      </c>
      <c r="F5" s="8" t="n">
        <f aca="false">COUNTIFS('Template Audit'!A:A,1,'Template Audit'!F:F,"Complete")</f>
        <v>0</v>
      </c>
    </row>
    <row r="6" customFormat="false" ht="15" hidden="false" customHeight="false" outlineLevel="0" collapsed="false">
      <c r="A6" s="8" t="s">
        <v>290</v>
      </c>
      <c r="B6" s="8" t="n">
        <f aca="false">COUNTIF('Template Audit'!A:A,2)</f>
        <v>36</v>
      </c>
      <c r="C6" s="8" t="n">
        <f aca="false">COUNTIFS('Template Audit'!A:A,2,'Template Audit'!F:F,"Not Started")</f>
        <v>34</v>
      </c>
      <c r="D6" s="8" t="n">
        <f aca="false">COUNTIFS('Template Audit'!A:A,2,'Template Audit'!F:F,"In Progress")</f>
        <v>0</v>
      </c>
      <c r="E6" s="8" t="n">
        <f aca="false">COUNTIFS('Template Audit'!A:A,2,'Template Audit'!F:F,"Existing/Needs Update")</f>
        <v>2</v>
      </c>
      <c r="F6" s="8" t="n">
        <f aca="false">COUNTIFS('Template Audit'!A:A,2,'Template Audit'!F:F,"Complete")</f>
        <v>0</v>
      </c>
    </row>
    <row r="7" customFormat="false" ht="15" hidden="false" customHeight="false" outlineLevel="0" collapsed="false">
      <c r="A7" s="8" t="s">
        <v>291</v>
      </c>
      <c r="B7" s="8" t="n">
        <f aca="false">COUNTIF('Template Audit'!A:A,3)</f>
        <v>35</v>
      </c>
      <c r="C7" s="8" t="n">
        <f aca="false">COUNTIFS('Template Audit'!A:A,3,'Template Audit'!F:F,"Not Started")</f>
        <v>35</v>
      </c>
      <c r="D7" s="8" t="n">
        <f aca="false">COUNTIFS('Template Audit'!A:A,3,'Template Audit'!F:F,"In Progress")</f>
        <v>0</v>
      </c>
      <c r="E7" s="8" t="n">
        <f aca="false">COUNTIFS('Template Audit'!A:A,3,'Template Audit'!F:F,"Existing/Needs Update")</f>
        <v>0</v>
      </c>
      <c r="F7" s="8" t="n">
        <f aca="false">COUNTIFS('Template Audit'!A:A,3,'Template Audit'!F:F,"Complete")</f>
        <v>0</v>
      </c>
    </row>
    <row r="8" customFormat="false" ht="15" hidden="false" customHeight="false" outlineLevel="0" collapsed="false">
      <c r="A8" s="9" t="s">
        <v>292</v>
      </c>
      <c r="B8" s="9" t="n">
        <f aca="false">SUM(B5:B7)</f>
        <v>89</v>
      </c>
      <c r="C8" s="9" t="n">
        <f aca="false">SUM(C5:C7)</f>
        <v>87</v>
      </c>
      <c r="D8" s="9" t="n">
        <f aca="false">SUM(D5:D7)</f>
        <v>0</v>
      </c>
      <c r="E8" s="9" t="n">
        <f aca="false">SUM(E5:E7)</f>
        <v>2</v>
      </c>
      <c r="F8" s="9" t="n">
        <f aca="false">SUM(F5:F7)</f>
        <v>0</v>
      </c>
    </row>
    <row r="10" customFormat="false" ht="15" hidden="false" customHeight="false" outlineLevel="0" collapsed="false">
      <c r="A10" s="6" t="s">
        <v>293</v>
      </c>
    </row>
    <row r="11" customFormat="false" ht="15" hidden="false" customHeight="false" outlineLevel="0" collapsed="false">
      <c r="A11" s="7" t="s">
        <v>1</v>
      </c>
      <c r="B11" s="7" t="s">
        <v>286</v>
      </c>
      <c r="C11" s="7" t="s">
        <v>288</v>
      </c>
      <c r="D11" s="7" t="s">
        <v>287</v>
      </c>
      <c r="E11" s="7" t="s">
        <v>91</v>
      </c>
      <c r="F11" s="7" t="s">
        <v>14</v>
      </c>
    </row>
    <row r="12" customFormat="false" ht="15" hidden="false" customHeight="false" outlineLevel="0" collapsed="false">
      <c r="A12" s="8" t="s">
        <v>10</v>
      </c>
      <c r="B12" s="8" t="n">
        <f aca="false">COUNTIF('Template Audit'!B:B,"Logo System")</f>
        <v>6</v>
      </c>
      <c r="C12" s="8" t="n">
        <f aca="false">COUNTIFS('Template Audit'!B:B,"Logo System",'Template Audit'!F:F,"Complete")</f>
        <v>0</v>
      </c>
      <c r="D12" s="8" t="n">
        <f aca="false">COUNTIFS('Template Audit'!B:B,"Logo System",'Template Audit'!F:F,"In Progress")</f>
        <v>0</v>
      </c>
      <c r="E12" s="8" t="n">
        <f aca="false">COUNTIFS('Template Audit'!B:B,"Logo System",'Template Audit'!F:F,"Existing/Needs Update")</f>
        <v>0</v>
      </c>
      <c r="F12" s="8" t="n">
        <f aca="false">COUNTIFS('Template Audit'!B:B,"Logo System",'Template Audit'!F:F,"Not Started")</f>
        <v>6</v>
      </c>
    </row>
    <row r="13" customFormat="false" ht="15" hidden="false" customHeight="false" outlineLevel="0" collapsed="false">
      <c r="A13" s="8" t="s">
        <v>36</v>
      </c>
      <c r="B13" s="8" t="n">
        <f aca="false">COUNTIF('Template Audit'!B:B,"Color System")</f>
        <v>4</v>
      </c>
      <c r="C13" s="8" t="n">
        <f aca="false">COUNTIFS('Template Audit'!B:B,"Color System",'Template Audit'!F:F,"Complete")</f>
        <v>0</v>
      </c>
      <c r="D13" s="8" t="n">
        <f aca="false">COUNTIFS('Template Audit'!B:B,"Color System",'Template Audit'!F:F,"In Progress")</f>
        <v>0</v>
      </c>
      <c r="E13" s="8" t="n">
        <f aca="false">COUNTIFS('Template Audit'!B:B,"Color System",'Template Audit'!F:F,"Existing/Needs Update")</f>
        <v>0</v>
      </c>
      <c r="F13" s="8" t="n">
        <f aca="false">COUNTIFS('Template Audit'!B:B,"Color System",'Template Audit'!F:F,"Not Started")</f>
        <v>4</v>
      </c>
    </row>
    <row r="14" customFormat="false" ht="15" hidden="false" customHeight="false" outlineLevel="0" collapsed="false">
      <c r="A14" s="8" t="s">
        <v>51</v>
      </c>
      <c r="B14" s="8" t="n">
        <f aca="false">COUNTIF('Template Audit'!B:B,"Typography")</f>
        <v>4</v>
      </c>
      <c r="C14" s="8" t="n">
        <f aca="false">COUNTIFS('Template Audit'!B:B,"Typography",'Template Audit'!F:F,"Complete")</f>
        <v>0</v>
      </c>
      <c r="D14" s="8" t="n">
        <f aca="false">COUNTIFS('Template Audit'!B:B,"Typography",'Template Audit'!F:F,"In Progress")</f>
        <v>0</v>
      </c>
      <c r="E14" s="8" t="n">
        <f aca="false">COUNTIFS('Template Audit'!B:B,"Typography",'Template Audit'!F:F,"Existing/Needs Update")</f>
        <v>0</v>
      </c>
      <c r="F14" s="8" t="n">
        <f aca="false">COUNTIFS('Template Audit'!B:B,"Typography",'Template Audit'!F:F,"Not Started")</f>
        <v>4</v>
      </c>
    </row>
    <row r="15" customFormat="false" ht="15" hidden="false" customHeight="false" outlineLevel="0" collapsed="false">
      <c r="A15" s="8" t="s">
        <v>63</v>
      </c>
      <c r="B15" s="8" t="n">
        <f aca="false">COUNTIF('Template Audit'!B:B,"Voice &amp; Tone")</f>
        <v>4</v>
      </c>
      <c r="C15" s="8" t="n">
        <f aca="false">COUNTIFS('Template Audit'!B:B,"Voice &amp; Tone",'Template Audit'!F:F,"Complete")</f>
        <v>0</v>
      </c>
      <c r="D15" s="8" t="n">
        <f aca="false">COUNTIFS('Template Audit'!B:B,"Voice &amp; Tone",'Template Audit'!F:F,"In Progress")</f>
        <v>0</v>
      </c>
      <c r="E15" s="8" t="n">
        <f aca="false">COUNTIFS('Template Audit'!B:B,"Voice &amp; Tone",'Template Audit'!F:F,"Existing/Needs Update")</f>
        <v>0</v>
      </c>
      <c r="F15" s="8" t="n">
        <f aca="false">COUNTIFS('Template Audit'!B:B,"Voice &amp; Tone",'Template Audit'!F:F,"Not Started")</f>
        <v>4</v>
      </c>
    </row>
    <row r="16" customFormat="false" ht="15" hidden="false" customHeight="false" outlineLevel="0" collapsed="false">
      <c r="A16" s="8" t="s">
        <v>77</v>
      </c>
      <c r="B16" s="8" t="n">
        <f aca="false">COUNTIF('Template Audit'!B:B,"Publications")</f>
        <v>6</v>
      </c>
      <c r="C16" s="8" t="n">
        <f aca="false">COUNTIFS('Template Audit'!B:B,"Publications",'Template Audit'!F:F,"Complete")</f>
        <v>0</v>
      </c>
      <c r="D16" s="8" t="n">
        <f aca="false">COUNTIFS('Template Audit'!B:B,"Publications",'Template Audit'!F:F,"In Progress")</f>
        <v>0</v>
      </c>
      <c r="E16" s="8" t="n">
        <f aca="false">COUNTIFS('Template Audit'!B:B,"Publications",'Template Audit'!F:F,"Existing/Needs Update")</f>
        <v>1</v>
      </c>
      <c r="F16" s="8" t="n">
        <f aca="false">COUNTIFS('Template Audit'!B:B,"Publications",'Template Audit'!F:F,"Not Started")</f>
        <v>5</v>
      </c>
    </row>
    <row r="17" customFormat="false" ht="15" hidden="false" customHeight="false" outlineLevel="0" collapsed="false">
      <c r="A17" s="8" t="s">
        <v>99</v>
      </c>
      <c r="B17" s="8" t="n">
        <f aca="false">COUNTIF('Template Audit'!B:B,"Presentations")</f>
        <v>4</v>
      </c>
      <c r="C17" s="8" t="n">
        <f aca="false">COUNTIFS('Template Audit'!B:B,"Presentations",'Template Audit'!F:F,"Complete")</f>
        <v>0</v>
      </c>
      <c r="D17" s="8" t="n">
        <f aca="false">COUNTIFS('Template Audit'!B:B,"Presentations",'Template Audit'!F:F,"In Progress")</f>
        <v>0</v>
      </c>
      <c r="E17" s="8" t="n">
        <f aca="false">COUNTIFS('Template Audit'!B:B,"Presentations",'Template Audit'!F:F,"Existing/Needs Update")</f>
        <v>1</v>
      </c>
      <c r="F17" s="8" t="n">
        <f aca="false">COUNTIFS('Template Audit'!B:B,"Presentations",'Template Audit'!F:F,"Not Started")</f>
        <v>3</v>
      </c>
    </row>
    <row r="18" customFormat="false" ht="15" hidden="false" customHeight="false" outlineLevel="0" collapsed="false">
      <c r="A18" s="8" t="s">
        <v>110</v>
      </c>
      <c r="B18" s="8" t="n">
        <f aca="false">COUNTIF('Template Audit'!B:B,"Social Media")</f>
        <v>7</v>
      </c>
      <c r="C18" s="8" t="n">
        <f aca="false">COUNTIFS('Template Audit'!B:B,"Social Media",'Template Audit'!F:F,"Complete")</f>
        <v>0</v>
      </c>
      <c r="D18" s="8" t="n">
        <f aca="false">COUNTIFS('Template Audit'!B:B,"Social Media",'Template Audit'!F:F,"In Progress")</f>
        <v>0</v>
      </c>
      <c r="E18" s="8" t="n">
        <f aca="false">COUNTIFS('Template Audit'!B:B,"Social Media",'Template Audit'!F:F,"Existing/Needs Update")</f>
        <v>0</v>
      </c>
      <c r="F18" s="8" t="n">
        <f aca="false">COUNTIFS('Template Audit'!B:B,"Social Media",'Template Audit'!F:F,"Not Started")</f>
        <v>7</v>
      </c>
    </row>
    <row r="19" customFormat="false" ht="15" hidden="false" customHeight="false" outlineLevel="0" collapsed="false">
      <c r="A19" s="8" t="s">
        <v>131</v>
      </c>
      <c r="B19" s="8" t="n">
        <f aca="false">COUNTIF('Template Audit'!B:B,"Email / Newsletter")</f>
        <v>5</v>
      </c>
      <c r="C19" s="8" t="n">
        <f aca="false">COUNTIFS('Template Audit'!B:B,"Email / Newsletter",'Template Audit'!F:F,"Complete")</f>
        <v>0</v>
      </c>
      <c r="D19" s="8" t="n">
        <f aca="false">COUNTIFS('Template Audit'!B:B,"Email / Newsletter",'Template Audit'!F:F,"In Progress")</f>
        <v>0</v>
      </c>
      <c r="E19" s="8" t="n">
        <f aca="false">COUNTIFS('Template Audit'!B:B,"Email / Newsletter",'Template Audit'!F:F,"Existing/Needs Update")</f>
        <v>0</v>
      </c>
      <c r="F19" s="8" t="n">
        <f aca="false">COUNTIFS('Template Audit'!B:B,"Email / Newsletter",'Template Audit'!F:F,"Not Started")</f>
        <v>5</v>
      </c>
    </row>
    <row r="20" customFormat="false" ht="15" hidden="false" customHeight="false" outlineLevel="0" collapsed="false">
      <c r="A20" s="8" t="s">
        <v>145</v>
      </c>
      <c r="B20" s="8" t="n">
        <f aca="false">COUNTIF('Template Audit'!B:B,"Events")</f>
        <v>9</v>
      </c>
      <c r="C20" s="8" t="n">
        <f aca="false">COUNTIFS('Template Audit'!B:B,"Events",'Template Audit'!F:F,"Complete")</f>
        <v>0</v>
      </c>
      <c r="D20" s="8" t="n">
        <f aca="false">COUNTIFS('Template Audit'!B:B,"Events",'Template Audit'!F:F,"In Progress")</f>
        <v>0</v>
      </c>
      <c r="E20" s="8" t="n">
        <f aca="false">COUNTIFS('Template Audit'!B:B,"Events",'Template Audit'!F:F,"Existing/Needs Update")</f>
        <v>0</v>
      </c>
      <c r="F20" s="8" t="n">
        <f aca="false">COUNTIFS('Template Audit'!B:B,"Events",'Template Audit'!F:F,"Not Started")</f>
        <v>9</v>
      </c>
    </row>
    <row r="21" customFormat="false" ht="15" hidden="false" customHeight="false" outlineLevel="0" collapsed="false">
      <c r="A21" s="8" t="s">
        <v>172</v>
      </c>
      <c r="B21" s="8" t="n">
        <f aca="false">COUNTIF('Template Audit'!B:B,"Stationery")</f>
        <v>5</v>
      </c>
      <c r="C21" s="8" t="n">
        <f aca="false">COUNTIFS('Template Audit'!B:B,"Stationery",'Template Audit'!F:F,"Complete")</f>
        <v>0</v>
      </c>
      <c r="D21" s="8" t="n">
        <f aca="false">COUNTIFS('Template Audit'!B:B,"Stationery",'Template Audit'!F:F,"In Progress")</f>
        <v>0</v>
      </c>
      <c r="E21" s="8" t="n">
        <f aca="false">COUNTIFS('Template Audit'!B:B,"Stationery",'Template Audit'!F:F,"Existing/Needs Update")</f>
        <v>0</v>
      </c>
      <c r="F21" s="8" t="n">
        <f aca="false">COUNTIFS('Template Audit'!B:B,"Stationery",'Template Audit'!F:F,"Not Started")</f>
        <v>5</v>
      </c>
    </row>
    <row r="22" customFormat="false" ht="15" hidden="false" customHeight="false" outlineLevel="0" collapsed="false">
      <c r="A22" s="8" t="s">
        <v>187</v>
      </c>
      <c r="B22" s="8" t="n">
        <f aca="false">COUNTIF('Template Audit'!B:B,"Sub-Brand Guidelines")</f>
        <v>6</v>
      </c>
      <c r="C22" s="8" t="n">
        <f aca="false">COUNTIFS('Template Audit'!B:B,"Sub-Brand Guidelines",'Template Audit'!F:F,"Complete")</f>
        <v>0</v>
      </c>
      <c r="D22" s="8" t="n">
        <f aca="false">COUNTIFS('Template Audit'!B:B,"Sub-Brand Guidelines",'Template Audit'!F:F,"In Progress")</f>
        <v>0</v>
      </c>
      <c r="E22" s="8" t="n">
        <f aca="false">COUNTIFS('Template Audit'!B:B,"Sub-Brand Guidelines",'Template Audit'!F:F,"Existing/Needs Update")</f>
        <v>0</v>
      </c>
      <c r="F22" s="8" t="n">
        <f aca="false">COUNTIFS('Template Audit'!B:B,"Sub-Brand Guidelines",'Template Audit'!F:F,"Not Started")</f>
        <v>6</v>
      </c>
    </row>
    <row r="23" customFormat="false" ht="15" hidden="false" customHeight="false" outlineLevel="0" collapsed="false">
      <c r="A23" s="8" t="s">
        <v>210</v>
      </c>
      <c r="B23" s="8" t="n">
        <f aca="false">COUNTIF('Template Audit'!B:B,"Donor/Development Materials")</f>
        <v>6</v>
      </c>
      <c r="C23" s="8" t="n">
        <f aca="false">COUNTIFS('Template Audit'!B:B,"Donor/Development Materials",'Template Audit'!F:F,"Complete")</f>
        <v>0</v>
      </c>
      <c r="D23" s="8" t="n">
        <f aca="false">COUNTIFS('Template Audit'!B:B,"Donor/Development Materials",'Template Audit'!F:F,"In Progress")</f>
        <v>0</v>
      </c>
      <c r="E23" s="8" t="n">
        <f aca="false">COUNTIFS('Template Audit'!B:B,"Donor/Development Materials",'Template Audit'!F:F,"Existing/Needs Update")</f>
        <v>0</v>
      </c>
      <c r="F23" s="8" t="n">
        <f aca="false">COUNTIFS('Template Audit'!B:B,"Donor/Development Materials",'Template Audit'!F:F,"Not Started")</f>
        <v>6</v>
      </c>
    </row>
    <row r="24" customFormat="false" ht="15" hidden="false" customHeight="false" outlineLevel="0" collapsed="false">
      <c r="A24" s="8" t="s">
        <v>223</v>
      </c>
      <c r="B24" s="8" t="n">
        <f aca="false">COUNTIF('Template Audit'!B:B,"Swag &amp; Merchandise")</f>
        <v>7</v>
      </c>
      <c r="C24" s="8" t="n">
        <f aca="false">COUNTIFS('Template Audit'!B:B,"Swag &amp; Merchandise",'Template Audit'!F:F,"Complete")</f>
        <v>0</v>
      </c>
      <c r="D24" s="8" t="n">
        <f aca="false">COUNTIFS('Template Audit'!B:B,"Swag &amp; Merchandise",'Template Audit'!F:F,"In Progress")</f>
        <v>0</v>
      </c>
      <c r="E24" s="8" t="n">
        <f aca="false">COUNTIFS('Template Audit'!B:B,"Swag &amp; Merchandise",'Template Audit'!F:F,"Existing/Needs Update")</f>
        <v>0</v>
      </c>
      <c r="F24" s="8" t="n">
        <f aca="false">COUNTIFS('Template Audit'!B:B,"Swag &amp; Merchandise",'Template Audit'!F:F,"Not Started")</f>
        <v>7</v>
      </c>
    </row>
    <row r="25" customFormat="false" ht="15" hidden="false" customHeight="false" outlineLevel="0" collapsed="false">
      <c r="A25" s="8" t="s">
        <v>242</v>
      </c>
      <c r="B25" s="8" t="n">
        <f aca="false">COUNTIF('Template Audit'!B:B,"Digital/Web")</f>
        <v>6</v>
      </c>
      <c r="C25" s="8" t="n">
        <f aca="false">COUNTIFS('Template Audit'!B:B,"Digital/Web",'Template Audit'!F:F,"Complete")</f>
        <v>0</v>
      </c>
      <c r="D25" s="8" t="n">
        <f aca="false">COUNTIFS('Template Audit'!B:B,"Digital/Web",'Template Audit'!F:F,"In Progress")</f>
        <v>0</v>
      </c>
      <c r="E25" s="8" t="n">
        <f aca="false">COUNTIFS('Template Audit'!B:B,"Digital/Web",'Template Audit'!F:F,"Existing/Needs Update")</f>
        <v>0</v>
      </c>
      <c r="F25" s="8" t="n">
        <f aca="false">COUNTIFS('Template Audit'!B:B,"Digital/Web",'Template Audit'!F:F,"Not Started")</f>
        <v>6</v>
      </c>
    </row>
    <row r="26" customFormat="false" ht="15" hidden="false" customHeight="false" outlineLevel="0" collapsed="false">
      <c r="A26" s="8" t="s">
        <v>258</v>
      </c>
      <c r="B26" s="8" t="n">
        <f aca="false">COUNTIF('Template Audit'!B:B,"Video/Motion")</f>
        <v>5</v>
      </c>
      <c r="C26" s="8" t="n">
        <f aca="false">COUNTIFS('Template Audit'!B:B,"Video/Motion",'Template Audit'!F:F,"Complete")</f>
        <v>0</v>
      </c>
      <c r="D26" s="8" t="n">
        <f aca="false">COUNTIFS('Template Audit'!B:B,"Video/Motion",'Template Audit'!F:F,"In Progress")</f>
        <v>0</v>
      </c>
      <c r="E26" s="8" t="n">
        <f aca="false">COUNTIFS('Template Audit'!B:B,"Video/Motion",'Template Audit'!F:F,"Existing/Needs Update")</f>
        <v>0</v>
      </c>
      <c r="F26" s="8" t="n">
        <f aca="false">COUNTIFS('Template Audit'!B:B,"Video/Motion",'Template Audit'!F:F,"Not Started")</f>
        <v>5</v>
      </c>
    </row>
    <row r="27" customFormat="false" ht="15" hidden="false" customHeight="false" outlineLevel="0" collapsed="false">
      <c r="A27" s="8" t="s">
        <v>272</v>
      </c>
      <c r="B27" s="8" t="n">
        <f aca="false">COUNTIF('Template Audit'!B:B,"Governance")</f>
        <v>5</v>
      </c>
      <c r="C27" s="8" t="n">
        <f aca="false">COUNTIFS('Template Audit'!B:B,"Governance",'Template Audit'!F:F,"Complete")</f>
        <v>0</v>
      </c>
      <c r="D27" s="8" t="n">
        <f aca="false">COUNTIFS('Template Audit'!B:B,"Governance",'Template Audit'!F:F,"In Progress")</f>
        <v>0</v>
      </c>
      <c r="E27" s="8" t="n">
        <f aca="false">COUNTIFS('Template Audit'!B:B,"Governance",'Template Audit'!F:F,"Existing/Needs Update")</f>
        <v>0</v>
      </c>
      <c r="F27" s="8" t="n">
        <f aca="false">COUNTIFS('Template Audit'!B:B,"Governance",'Template Audit'!F:F,"Not Started")</f>
        <v>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25"/>
    <col collapsed="false" customWidth="true" hidden="false" outlineLevel="0" max="4" min="4" style="0" width="40"/>
    <col collapsed="false" customWidth="true" hidden="false" outlineLevel="0" max="5" min="5" style="0" width="18"/>
    <col collapsed="false" customWidth="true" hidden="false" outlineLevel="0" max="6" min="6" style="0" width="40"/>
  </cols>
  <sheetData>
    <row r="1" customFormat="false" ht="15" hidden="false" customHeight="false" outlineLevel="0" collapsed="false">
      <c r="A1" s="10" t="s">
        <v>7</v>
      </c>
      <c r="B1" s="10" t="s">
        <v>285</v>
      </c>
      <c r="C1" s="10" t="s">
        <v>1</v>
      </c>
      <c r="D1" s="10" t="s">
        <v>294</v>
      </c>
      <c r="E1" s="10" t="s">
        <v>5</v>
      </c>
      <c r="F1" s="10" t="s">
        <v>6</v>
      </c>
    </row>
    <row r="2" customFormat="false" ht="23.85" hidden="false" customHeight="false" outlineLevel="0" collapsed="false">
      <c r="A2" s="3" t="s">
        <v>92</v>
      </c>
      <c r="B2" s="3" t="n">
        <v>2</v>
      </c>
      <c r="C2" s="3" t="s">
        <v>77</v>
      </c>
      <c r="D2" s="3" t="s">
        <v>89</v>
      </c>
      <c r="E2" s="3" t="s">
        <v>91</v>
      </c>
      <c r="F2" s="3" t="s">
        <v>76</v>
      </c>
    </row>
    <row r="3" customFormat="false" ht="23.85" hidden="false" customHeight="false" outlineLevel="0" collapsed="false">
      <c r="A3" s="3" t="s">
        <v>92</v>
      </c>
      <c r="B3" s="3" t="n">
        <v>2</v>
      </c>
      <c r="C3" s="3" t="s">
        <v>99</v>
      </c>
      <c r="D3" s="3" t="s">
        <v>100</v>
      </c>
      <c r="E3" s="3" t="s">
        <v>91</v>
      </c>
      <c r="F3" s="3" t="s">
        <v>86</v>
      </c>
    </row>
    <row r="4" customFormat="false" ht="15" hidden="false" customHeight="false" outlineLevel="0" collapsed="false">
      <c r="A4" s="2" t="s">
        <v>55</v>
      </c>
      <c r="B4" s="2" t="n">
        <v>1</v>
      </c>
      <c r="C4" s="2" t="s">
        <v>51</v>
      </c>
      <c r="D4" s="2" t="s">
        <v>52</v>
      </c>
      <c r="E4" s="2" t="s">
        <v>14</v>
      </c>
      <c r="F4" s="2"/>
    </row>
    <row r="5" customFormat="false" ht="15" hidden="false" customHeight="false" outlineLevel="0" collapsed="false">
      <c r="A5" s="2" t="s">
        <v>15</v>
      </c>
      <c r="B5" s="2" t="n">
        <v>1</v>
      </c>
      <c r="C5" s="2" t="s">
        <v>10</v>
      </c>
      <c r="D5" s="2" t="s">
        <v>11</v>
      </c>
      <c r="E5" s="2" t="s">
        <v>14</v>
      </c>
      <c r="F5" s="2"/>
    </row>
    <row r="6" customFormat="false" ht="15" hidden="false" customHeight="false" outlineLevel="0" collapsed="false">
      <c r="A6" s="2" t="s">
        <v>15</v>
      </c>
      <c r="B6" s="2" t="n">
        <v>1</v>
      </c>
      <c r="C6" s="2" t="s">
        <v>10</v>
      </c>
      <c r="D6" s="2" t="s">
        <v>18</v>
      </c>
      <c r="E6" s="2" t="s">
        <v>14</v>
      </c>
      <c r="F6" s="2" t="s">
        <v>20</v>
      </c>
    </row>
    <row r="7" customFormat="false" ht="15" hidden="false" customHeight="false" outlineLevel="0" collapsed="false">
      <c r="A7" s="2" t="s">
        <v>15</v>
      </c>
      <c r="B7" s="2" t="n">
        <v>1</v>
      </c>
      <c r="C7" s="2" t="s">
        <v>36</v>
      </c>
      <c r="D7" s="2" t="s">
        <v>37</v>
      </c>
      <c r="E7" s="2" t="s">
        <v>14</v>
      </c>
      <c r="F7" s="2"/>
    </row>
    <row r="8" customFormat="false" ht="15" hidden="false" customHeight="false" outlineLevel="0" collapsed="false">
      <c r="A8" s="2" t="s">
        <v>15</v>
      </c>
      <c r="B8" s="2" t="n">
        <v>1</v>
      </c>
      <c r="C8" s="2" t="s">
        <v>51</v>
      </c>
      <c r="D8" s="2" t="s">
        <v>56</v>
      </c>
      <c r="E8" s="2" t="s">
        <v>14</v>
      </c>
      <c r="F8" s="2" t="s">
        <v>52</v>
      </c>
    </row>
    <row r="9" customFormat="false" ht="15" hidden="false" customHeight="false" outlineLevel="0" collapsed="false">
      <c r="A9" s="2" t="s">
        <v>15</v>
      </c>
      <c r="B9" s="2" t="n">
        <v>1</v>
      </c>
      <c r="C9" s="2" t="s">
        <v>51</v>
      </c>
      <c r="D9" s="2" t="s">
        <v>61</v>
      </c>
      <c r="E9" s="2" t="s">
        <v>14</v>
      </c>
      <c r="F9" s="2" t="s">
        <v>56</v>
      </c>
    </row>
    <row r="10" customFormat="false" ht="15" hidden="false" customHeight="false" outlineLevel="0" collapsed="false">
      <c r="A10" s="3" t="s">
        <v>15</v>
      </c>
      <c r="B10" s="3" t="n">
        <v>2</v>
      </c>
      <c r="C10" s="3" t="s">
        <v>77</v>
      </c>
      <c r="D10" s="3" t="s">
        <v>78</v>
      </c>
      <c r="E10" s="3" t="s">
        <v>14</v>
      </c>
      <c r="F10" s="3" t="s">
        <v>81</v>
      </c>
    </row>
    <row r="11" customFormat="false" ht="15" hidden="false" customHeight="false" outlineLevel="0" collapsed="false">
      <c r="A11" s="2" t="s">
        <v>44</v>
      </c>
      <c r="B11" s="2" t="n">
        <v>1</v>
      </c>
      <c r="C11" s="2" t="s">
        <v>36</v>
      </c>
      <c r="D11" s="2" t="s">
        <v>41</v>
      </c>
      <c r="E11" s="2" t="s">
        <v>14</v>
      </c>
      <c r="F11" s="2" t="s">
        <v>37</v>
      </c>
    </row>
    <row r="12" customFormat="false" ht="15" hidden="false" customHeight="false" outlineLevel="0" collapsed="false">
      <c r="A12" s="2" t="s">
        <v>44</v>
      </c>
      <c r="B12" s="2" t="n">
        <v>1</v>
      </c>
      <c r="C12" s="2" t="s">
        <v>51</v>
      </c>
      <c r="D12" s="2" t="s">
        <v>58</v>
      </c>
      <c r="E12" s="2" t="s">
        <v>14</v>
      </c>
      <c r="F12" s="2" t="s">
        <v>52</v>
      </c>
    </row>
    <row r="13" customFormat="false" ht="15" hidden="false" customHeight="false" outlineLevel="0" collapsed="false">
      <c r="A13" s="2" t="s">
        <v>44</v>
      </c>
      <c r="B13" s="2" t="n">
        <v>1</v>
      </c>
      <c r="C13" s="2" t="s">
        <v>63</v>
      </c>
      <c r="D13" s="2" t="s">
        <v>73</v>
      </c>
      <c r="E13" s="2" t="s">
        <v>14</v>
      </c>
      <c r="F13" s="2" t="s">
        <v>76</v>
      </c>
    </row>
    <row r="14" customFormat="false" ht="15" hidden="false" customHeight="false" outlineLevel="0" collapsed="false">
      <c r="A14" s="3" t="s">
        <v>44</v>
      </c>
      <c r="B14" s="3" t="n">
        <v>2</v>
      </c>
      <c r="C14" s="3" t="s">
        <v>99</v>
      </c>
      <c r="D14" s="3" t="s">
        <v>108</v>
      </c>
      <c r="E14" s="3" t="s">
        <v>14</v>
      </c>
      <c r="F14" s="3" t="s">
        <v>76</v>
      </c>
    </row>
    <row r="15" customFormat="false" ht="15" hidden="false" customHeight="false" outlineLevel="0" collapsed="false">
      <c r="A15" s="3" t="s">
        <v>44</v>
      </c>
      <c r="B15" s="3" t="n">
        <v>2</v>
      </c>
      <c r="C15" s="3" t="s">
        <v>110</v>
      </c>
      <c r="D15" s="3" t="s">
        <v>125</v>
      </c>
      <c r="E15" s="3" t="s">
        <v>14</v>
      </c>
      <c r="F15" s="3" t="s">
        <v>10</v>
      </c>
    </row>
    <row r="16" customFormat="false" ht="15" hidden="false" customHeight="false" outlineLevel="0" collapsed="false">
      <c r="A16" s="3" t="s">
        <v>44</v>
      </c>
      <c r="B16" s="3" t="n">
        <v>2</v>
      </c>
      <c r="C16" s="3" t="s">
        <v>131</v>
      </c>
      <c r="D16" s="3" t="s">
        <v>143</v>
      </c>
      <c r="E16" s="3" t="s">
        <v>14</v>
      </c>
      <c r="F16" s="3" t="s">
        <v>76</v>
      </c>
    </row>
    <row r="17" customFormat="false" ht="15" hidden="false" customHeight="false" outlineLevel="0" collapsed="false">
      <c r="A17" s="2" t="s">
        <v>29</v>
      </c>
      <c r="B17" s="2" t="n">
        <v>1</v>
      </c>
      <c r="C17" s="2" t="s">
        <v>10</v>
      </c>
      <c r="D17" s="2" t="s">
        <v>26</v>
      </c>
      <c r="E17" s="2" t="s">
        <v>14</v>
      </c>
      <c r="F17" s="2" t="s">
        <v>20</v>
      </c>
    </row>
    <row r="18" customFormat="false" ht="15" hidden="false" customHeight="false" outlineLevel="0" collapsed="false">
      <c r="A18" s="2" t="s">
        <v>29</v>
      </c>
      <c r="B18" s="2" t="n">
        <v>1</v>
      </c>
      <c r="C18" s="2" t="s">
        <v>36</v>
      </c>
      <c r="D18" s="2" t="s">
        <v>45</v>
      </c>
      <c r="E18" s="2" t="s">
        <v>14</v>
      </c>
      <c r="F18" s="2" t="s">
        <v>37</v>
      </c>
    </row>
    <row r="19" customFormat="false" ht="15" hidden="false" customHeight="false" outlineLevel="0" collapsed="false">
      <c r="A19" s="2" t="s">
        <v>29</v>
      </c>
      <c r="B19" s="2" t="n">
        <v>1</v>
      </c>
      <c r="C19" s="2" t="s">
        <v>63</v>
      </c>
      <c r="D19" s="2" t="s">
        <v>64</v>
      </c>
      <c r="E19" s="2" t="s">
        <v>14</v>
      </c>
      <c r="F19" s="2"/>
    </row>
    <row r="20" customFormat="false" ht="15" hidden="false" customHeight="false" outlineLevel="0" collapsed="false">
      <c r="A20" s="2" t="s">
        <v>29</v>
      </c>
      <c r="B20" s="2" t="n">
        <v>1</v>
      </c>
      <c r="C20" s="2" t="s">
        <v>63</v>
      </c>
      <c r="D20" s="2" t="s">
        <v>67</v>
      </c>
      <c r="E20" s="2" t="s">
        <v>14</v>
      </c>
      <c r="F20" s="2" t="s">
        <v>64</v>
      </c>
    </row>
    <row r="21" customFormat="false" ht="15" hidden="false" customHeight="false" outlineLevel="0" collapsed="false">
      <c r="A21" s="2" t="s">
        <v>29</v>
      </c>
      <c r="B21" s="2" t="n">
        <v>1</v>
      </c>
      <c r="C21" s="2" t="s">
        <v>63</v>
      </c>
      <c r="D21" s="2" t="s">
        <v>71</v>
      </c>
      <c r="E21" s="2" t="s">
        <v>14</v>
      </c>
      <c r="F21" s="2" t="s">
        <v>64</v>
      </c>
    </row>
    <row r="22" customFormat="false" ht="15" hidden="false" customHeight="false" outlineLevel="0" collapsed="false">
      <c r="A22" s="3" t="s">
        <v>29</v>
      </c>
      <c r="B22" s="3" t="n">
        <v>2</v>
      </c>
      <c r="C22" s="3" t="s">
        <v>77</v>
      </c>
      <c r="D22" s="3" t="s">
        <v>83</v>
      </c>
      <c r="E22" s="3" t="s">
        <v>14</v>
      </c>
      <c r="F22" s="3" t="s">
        <v>86</v>
      </c>
    </row>
    <row r="23" customFormat="false" ht="15" hidden="false" customHeight="false" outlineLevel="0" collapsed="false">
      <c r="A23" s="3" t="s">
        <v>29</v>
      </c>
      <c r="B23" s="3" t="n">
        <v>2</v>
      </c>
      <c r="C23" s="3" t="s">
        <v>99</v>
      </c>
      <c r="D23" s="3" t="s">
        <v>104</v>
      </c>
      <c r="E23" s="3" t="s">
        <v>14</v>
      </c>
      <c r="F23" s="3" t="s">
        <v>100</v>
      </c>
    </row>
    <row r="24" customFormat="false" ht="15" hidden="false" customHeight="false" outlineLevel="0" collapsed="false">
      <c r="A24" s="3" t="s">
        <v>29</v>
      </c>
      <c r="B24" s="3" t="n">
        <v>2</v>
      </c>
      <c r="C24" s="3" t="s">
        <v>131</v>
      </c>
      <c r="D24" s="3" t="s">
        <v>132</v>
      </c>
      <c r="E24" s="3" t="s">
        <v>14</v>
      </c>
      <c r="F24" s="3" t="s">
        <v>86</v>
      </c>
    </row>
    <row r="25" customFormat="false" ht="15" hidden="false" customHeight="false" outlineLevel="0" collapsed="false">
      <c r="A25" s="3" t="s">
        <v>29</v>
      </c>
      <c r="B25" s="3" t="n">
        <v>2</v>
      </c>
      <c r="C25" s="3" t="s">
        <v>131</v>
      </c>
      <c r="D25" s="3" t="s">
        <v>136</v>
      </c>
      <c r="E25" s="3" t="s">
        <v>14</v>
      </c>
      <c r="F25" s="3" t="s">
        <v>138</v>
      </c>
    </row>
    <row r="26" customFormat="false" ht="15" hidden="false" customHeight="false" outlineLevel="0" collapsed="false">
      <c r="A26" s="3" t="s">
        <v>29</v>
      </c>
      <c r="B26" s="3" t="n">
        <v>2</v>
      </c>
      <c r="C26" s="3" t="s">
        <v>131</v>
      </c>
      <c r="D26" s="3" t="s">
        <v>141</v>
      </c>
      <c r="E26" s="3" t="s">
        <v>14</v>
      </c>
      <c r="F26" s="3" t="s">
        <v>138</v>
      </c>
    </row>
    <row r="27" customFormat="false" ht="15" hidden="false" customHeight="false" outlineLevel="0" collapsed="false">
      <c r="A27" s="3" t="s">
        <v>29</v>
      </c>
      <c r="B27" s="3" t="n">
        <v>2</v>
      </c>
      <c r="C27" s="3" t="s">
        <v>145</v>
      </c>
      <c r="D27" s="3" t="s">
        <v>151</v>
      </c>
      <c r="E27" s="3" t="s">
        <v>14</v>
      </c>
      <c r="F27" s="3" t="s">
        <v>153</v>
      </c>
    </row>
    <row r="28" customFormat="false" ht="15" hidden="false" customHeight="false" outlineLevel="0" collapsed="false">
      <c r="A28" s="3" t="s">
        <v>29</v>
      </c>
      <c r="B28" s="3" t="n">
        <v>2</v>
      </c>
      <c r="C28" s="3" t="s">
        <v>145</v>
      </c>
      <c r="D28" s="3" t="s">
        <v>158</v>
      </c>
      <c r="E28" s="3" t="s">
        <v>14</v>
      </c>
      <c r="F28" s="3" t="s">
        <v>76</v>
      </c>
    </row>
    <row r="29" customFormat="false" ht="15" hidden="false" customHeight="false" outlineLevel="0" collapsed="false">
      <c r="A29" s="3" t="s">
        <v>29</v>
      </c>
      <c r="B29" s="3" t="n">
        <v>2</v>
      </c>
      <c r="C29" s="3" t="s">
        <v>145</v>
      </c>
      <c r="D29" s="3" t="s">
        <v>160</v>
      </c>
      <c r="E29" s="3" t="s">
        <v>14</v>
      </c>
      <c r="F29" s="3" t="s">
        <v>138</v>
      </c>
    </row>
    <row r="30" customFormat="false" ht="15" hidden="false" customHeight="false" outlineLevel="0" collapsed="false">
      <c r="A30" s="3" t="s">
        <v>29</v>
      </c>
      <c r="B30" s="3" t="n">
        <v>2</v>
      </c>
      <c r="C30" s="3" t="s">
        <v>145</v>
      </c>
      <c r="D30" s="3" t="s">
        <v>162</v>
      </c>
      <c r="E30" s="3" t="s">
        <v>14</v>
      </c>
      <c r="F30" s="3" t="s">
        <v>138</v>
      </c>
    </row>
    <row r="31" customFormat="false" ht="15" hidden="false" customHeight="false" outlineLevel="0" collapsed="false">
      <c r="A31" s="3" t="s">
        <v>29</v>
      </c>
      <c r="B31" s="3" t="n">
        <v>2</v>
      </c>
      <c r="C31" s="3" t="s">
        <v>145</v>
      </c>
      <c r="D31" s="3" t="s">
        <v>170</v>
      </c>
      <c r="E31" s="3" t="s">
        <v>14</v>
      </c>
      <c r="F31" s="3" t="s">
        <v>76</v>
      </c>
    </row>
    <row r="32" customFormat="false" ht="15" hidden="false" customHeight="false" outlineLevel="0" collapsed="false">
      <c r="A32" s="3" t="s">
        <v>29</v>
      </c>
      <c r="B32" s="3" t="n">
        <v>2</v>
      </c>
      <c r="C32" s="3" t="s">
        <v>172</v>
      </c>
      <c r="D32" s="3" t="s">
        <v>173</v>
      </c>
      <c r="E32" s="3" t="s">
        <v>14</v>
      </c>
      <c r="F32" s="3" t="s">
        <v>176</v>
      </c>
    </row>
    <row r="33" customFormat="false" ht="15" hidden="false" customHeight="false" outlineLevel="0" collapsed="false">
      <c r="A33" s="3" t="s">
        <v>29</v>
      </c>
      <c r="B33" s="3" t="n">
        <v>2</v>
      </c>
      <c r="C33" s="3" t="s">
        <v>172</v>
      </c>
      <c r="D33" s="3" t="s">
        <v>177</v>
      </c>
      <c r="E33" s="3" t="s">
        <v>14</v>
      </c>
      <c r="F33" s="3" t="s">
        <v>179</v>
      </c>
    </row>
    <row r="34" customFormat="false" ht="15" hidden="false" customHeight="false" outlineLevel="0" collapsed="false">
      <c r="A34" s="3" t="s">
        <v>29</v>
      </c>
      <c r="B34" s="3" t="n">
        <v>2</v>
      </c>
      <c r="C34" s="3" t="s">
        <v>172</v>
      </c>
      <c r="D34" s="3" t="s">
        <v>181</v>
      </c>
      <c r="E34" s="3" t="s">
        <v>14</v>
      </c>
      <c r="F34" s="3" t="s">
        <v>179</v>
      </c>
    </row>
    <row r="35" customFormat="false" ht="15" hidden="false" customHeight="false" outlineLevel="0" collapsed="false">
      <c r="A35" s="3" t="s">
        <v>29</v>
      </c>
      <c r="B35" s="3" t="n">
        <v>2</v>
      </c>
      <c r="C35" s="3" t="s">
        <v>172</v>
      </c>
      <c r="D35" s="3" t="s">
        <v>183</v>
      </c>
      <c r="E35" s="3" t="s">
        <v>14</v>
      </c>
      <c r="F35" s="3" t="s">
        <v>149</v>
      </c>
    </row>
    <row r="36" customFormat="false" ht="15" hidden="false" customHeight="false" outlineLevel="0" collapsed="false">
      <c r="A36" s="3" t="s">
        <v>29</v>
      </c>
      <c r="B36" s="3" t="n">
        <v>2</v>
      </c>
      <c r="C36" s="3" t="s">
        <v>172</v>
      </c>
      <c r="D36" s="3" t="s">
        <v>185</v>
      </c>
      <c r="E36" s="3" t="s">
        <v>14</v>
      </c>
      <c r="F36" s="3" t="s">
        <v>76</v>
      </c>
    </row>
    <row r="37" customFormat="false" ht="15" hidden="false" customHeight="false" outlineLevel="0" collapsed="false">
      <c r="A37" s="3" t="s">
        <v>166</v>
      </c>
      <c r="B37" s="3" t="n">
        <v>2</v>
      </c>
      <c r="C37" s="3" t="s">
        <v>145</v>
      </c>
      <c r="D37" s="3" t="s">
        <v>164</v>
      </c>
      <c r="E37" s="3" t="s">
        <v>14</v>
      </c>
      <c r="F37" s="3" t="s">
        <v>122</v>
      </c>
    </row>
    <row r="38" customFormat="false" ht="15" hidden="false" customHeight="false" outlineLevel="0" collapsed="false">
      <c r="A38" s="2" t="s">
        <v>24</v>
      </c>
      <c r="B38" s="2" t="n">
        <v>1</v>
      </c>
      <c r="C38" s="2" t="s">
        <v>10</v>
      </c>
      <c r="D38" s="2" t="s">
        <v>21</v>
      </c>
      <c r="E38" s="2" t="s">
        <v>14</v>
      </c>
      <c r="F38" s="2" t="s">
        <v>20</v>
      </c>
    </row>
    <row r="39" customFormat="false" ht="15" hidden="false" customHeight="false" outlineLevel="0" collapsed="false">
      <c r="A39" s="2" t="s">
        <v>24</v>
      </c>
      <c r="B39" s="2" t="n">
        <v>1</v>
      </c>
      <c r="C39" s="2" t="s">
        <v>10</v>
      </c>
      <c r="D39" s="2" t="s">
        <v>30</v>
      </c>
      <c r="E39" s="2" t="s">
        <v>14</v>
      </c>
      <c r="F39" s="2" t="s">
        <v>20</v>
      </c>
    </row>
    <row r="40" customFormat="false" ht="15" hidden="false" customHeight="false" outlineLevel="0" collapsed="false">
      <c r="A40" s="2" t="s">
        <v>24</v>
      </c>
      <c r="B40" s="2" t="n">
        <v>1</v>
      </c>
      <c r="C40" s="2" t="s">
        <v>10</v>
      </c>
      <c r="D40" s="2" t="s">
        <v>33</v>
      </c>
      <c r="E40" s="2" t="s">
        <v>14</v>
      </c>
      <c r="F40" s="2" t="s">
        <v>20</v>
      </c>
    </row>
    <row r="41" customFormat="false" ht="15" hidden="false" customHeight="false" outlineLevel="0" collapsed="false">
      <c r="A41" s="2" t="s">
        <v>24</v>
      </c>
      <c r="B41" s="2" t="n">
        <v>1</v>
      </c>
      <c r="C41" s="2" t="s">
        <v>36</v>
      </c>
      <c r="D41" s="2" t="s">
        <v>48</v>
      </c>
      <c r="E41" s="2" t="s">
        <v>14</v>
      </c>
      <c r="F41" s="2" t="s">
        <v>37</v>
      </c>
    </row>
    <row r="42" customFormat="false" ht="15" hidden="false" customHeight="false" outlineLevel="0" collapsed="false">
      <c r="A42" s="3" t="s">
        <v>24</v>
      </c>
      <c r="B42" s="3" t="n">
        <v>2</v>
      </c>
      <c r="C42" s="3" t="s">
        <v>77</v>
      </c>
      <c r="D42" s="3" t="s">
        <v>87</v>
      </c>
      <c r="E42" s="3" t="s">
        <v>14</v>
      </c>
      <c r="F42" s="3" t="s">
        <v>86</v>
      </c>
    </row>
    <row r="43" customFormat="false" ht="15" hidden="false" customHeight="false" outlineLevel="0" collapsed="false">
      <c r="A43" s="3" t="s">
        <v>24</v>
      </c>
      <c r="B43" s="3" t="n">
        <v>2</v>
      </c>
      <c r="C43" s="3" t="s">
        <v>77</v>
      </c>
      <c r="D43" s="3" t="s">
        <v>94</v>
      </c>
      <c r="E43" s="3" t="s">
        <v>14</v>
      </c>
      <c r="F43" s="3" t="s">
        <v>81</v>
      </c>
    </row>
    <row r="44" customFormat="false" ht="15" hidden="false" customHeight="false" outlineLevel="0" collapsed="false">
      <c r="A44" s="3" t="s">
        <v>24</v>
      </c>
      <c r="B44" s="3" t="n">
        <v>2</v>
      </c>
      <c r="C44" s="3" t="s">
        <v>99</v>
      </c>
      <c r="D44" s="3" t="s">
        <v>106</v>
      </c>
      <c r="E44" s="3" t="s">
        <v>14</v>
      </c>
      <c r="F44" s="3" t="s">
        <v>100</v>
      </c>
    </row>
    <row r="45" customFormat="false" ht="15" hidden="false" customHeight="false" outlineLevel="0" collapsed="false">
      <c r="A45" s="3" t="s">
        <v>24</v>
      </c>
      <c r="B45" s="3" t="n">
        <v>2</v>
      </c>
      <c r="C45" s="3" t="s">
        <v>110</v>
      </c>
      <c r="D45" s="3" t="s">
        <v>111</v>
      </c>
      <c r="E45" s="3" t="s">
        <v>14</v>
      </c>
      <c r="F45" s="3" t="s">
        <v>114</v>
      </c>
    </row>
    <row r="46" customFormat="false" ht="15" hidden="false" customHeight="false" outlineLevel="0" collapsed="false">
      <c r="A46" s="3" t="s">
        <v>24</v>
      </c>
      <c r="B46" s="3" t="n">
        <v>2</v>
      </c>
      <c r="C46" s="3" t="s">
        <v>110</v>
      </c>
      <c r="D46" s="3" t="s">
        <v>116</v>
      </c>
      <c r="E46" s="3" t="s">
        <v>14</v>
      </c>
      <c r="F46" s="3" t="s">
        <v>114</v>
      </c>
    </row>
    <row r="47" customFormat="false" ht="15" hidden="false" customHeight="false" outlineLevel="0" collapsed="false">
      <c r="A47" s="3" t="s">
        <v>24</v>
      </c>
      <c r="B47" s="3" t="n">
        <v>2</v>
      </c>
      <c r="C47" s="3" t="s">
        <v>110</v>
      </c>
      <c r="D47" s="3" t="s">
        <v>118</v>
      </c>
      <c r="E47" s="3" t="s">
        <v>14</v>
      </c>
      <c r="F47" s="3" t="s">
        <v>114</v>
      </c>
    </row>
    <row r="48" customFormat="false" ht="15" hidden="false" customHeight="false" outlineLevel="0" collapsed="false">
      <c r="A48" s="3" t="s">
        <v>24</v>
      </c>
      <c r="B48" s="3" t="n">
        <v>2</v>
      </c>
      <c r="C48" s="3" t="s">
        <v>110</v>
      </c>
      <c r="D48" s="3" t="s">
        <v>120</v>
      </c>
      <c r="E48" s="3" t="s">
        <v>14</v>
      </c>
      <c r="F48" s="3" t="s">
        <v>122</v>
      </c>
    </row>
    <row r="49" customFormat="false" ht="15" hidden="false" customHeight="false" outlineLevel="0" collapsed="false">
      <c r="A49" s="3" t="s">
        <v>24</v>
      </c>
      <c r="B49" s="3" t="n">
        <v>2</v>
      </c>
      <c r="C49" s="3" t="s">
        <v>110</v>
      </c>
      <c r="D49" s="3" t="s">
        <v>123</v>
      </c>
      <c r="E49" s="3" t="s">
        <v>14</v>
      </c>
      <c r="F49" s="3" t="s">
        <v>114</v>
      </c>
    </row>
    <row r="50" customFormat="false" ht="15" hidden="false" customHeight="false" outlineLevel="0" collapsed="false">
      <c r="A50" s="3" t="s">
        <v>24</v>
      </c>
      <c r="B50" s="3" t="n">
        <v>2</v>
      </c>
      <c r="C50" s="3" t="s">
        <v>110</v>
      </c>
      <c r="D50" s="3" t="s">
        <v>128</v>
      </c>
      <c r="E50" s="3" t="s">
        <v>14</v>
      </c>
      <c r="F50" s="3" t="s">
        <v>122</v>
      </c>
    </row>
    <row r="51" customFormat="false" ht="15" hidden="false" customHeight="false" outlineLevel="0" collapsed="false">
      <c r="A51" s="3" t="s">
        <v>24</v>
      </c>
      <c r="B51" s="3" t="n">
        <v>2</v>
      </c>
      <c r="C51" s="3" t="s">
        <v>131</v>
      </c>
      <c r="D51" s="3" t="s">
        <v>139</v>
      </c>
      <c r="E51" s="3" t="s">
        <v>14</v>
      </c>
      <c r="F51" s="3" t="s">
        <v>138</v>
      </c>
    </row>
    <row r="52" customFormat="false" ht="15" hidden="false" customHeight="false" outlineLevel="0" collapsed="false">
      <c r="A52" s="3" t="s">
        <v>24</v>
      </c>
      <c r="B52" s="3" t="n">
        <v>2</v>
      </c>
      <c r="C52" s="3" t="s">
        <v>145</v>
      </c>
      <c r="D52" s="3" t="s">
        <v>146</v>
      </c>
      <c r="E52" s="3" t="s">
        <v>14</v>
      </c>
      <c r="F52" s="3" t="s">
        <v>149</v>
      </c>
    </row>
    <row r="53" customFormat="false" ht="15" hidden="false" customHeight="false" outlineLevel="0" collapsed="false">
      <c r="A53" s="3" t="s">
        <v>24</v>
      </c>
      <c r="B53" s="3" t="n">
        <v>2</v>
      </c>
      <c r="C53" s="3" t="s">
        <v>145</v>
      </c>
      <c r="D53" s="3" t="s">
        <v>155</v>
      </c>
      <c r="E53" s="3" t="s">
        <v>14</v>
      </c>
      <c r="F53" s="3" t="s">
        <v>138</v>
      </c>
    </row>
    <row r="54" customFormat="false" ht="15" hidden="false" customHeight="false" outlineLevel="0" collapsed="false">
      <c r="A54" s="3" t="s">
        <v>24</v>
      </c>
      <c r="B54" s="3" t="n">
        <v>2</v>
      </c>
      <c r="C54" s="3" t="s">
        <v>145</v>
      </c>
      <c r="D54" s="3" t="s">
        <v>168</v>
      </c>
      <c r="E54" s="3" t="s">
        <v>14</v>
      </c>
      <c r="F54" s="3" t="s">
        <v>100</v>
      </c>
    </row>
    <row r="55" customFormat="false" ht="15" hidden="false" customHeight="false" outlineLevel="0" collapsed="false">
      <c r="A55" s="3" t="s">
        <v>98</v>
      </c>
      <c r="B55" s="3" t="n">
        <v>2</v>
      </c>
      <c r="C55" s="3" t="s">
        <v>77</v>
      </c>
      <c r="D55" s="3" t="s">
        <v>96</v>
      </c>
      <c r="E55" s="3" t="s">
        <v>14</v>
      </c>
      <c r="F55" s="3" t="s">
        <v>86</v>
      </c>
    </row>
    <row r="56" customFormat="false" ht="23.85" hidden="false" customHeight="false" outlineLevel="0" collapsed="false">
      <c r="A56" s="4" t="s">
        <v>199</v>
      </c>
      <c r="B56" s="4" t="n">
        <v>3</v>
      </c>
      <c r="C56" s="4" t="s">
        <v>187</v>
      </c>
      <c r="D56" s="4" t="s">
        <v>196</v>
      </c>
      <c r="E56" s="4" t="s">
        <v>14</v>
      </c>
      <c r="F56" s="4" t="s">
        <v>198</v>
      </c>
    </row>
    <row r="57" customFormat="false" ht="15" hidden="false" customHeight="false" outlineLevel="0" collapsed="false">
      <c r="A57" s="4" t="s">
        <v>199</v>
      </c>
      <c r="B57" s="4" t="n">
        <v>3</v>
      </c>
      <c r="C57" s="4" t="s">
        <v>210</v>
      </c>
      <c r="D57" s="4" t="s">
        <v>221</v>
      </c>
      <c r="E57" s="4" t="s">
        <v>14</v>
      </c>
      <c r="F57" s="4" t="s">
        <v>76</v>
      </c>
    </row>
    <row r="58" customFormat="false" ht="15" hidden="false" customHeight="false" outlineLevel="0" collapsed="false">
      <c r="A58" s="4" t="s">
        <v>199</v>
      </c>
      <c r="B58" s="4" t="n">
        <v>3</v>
      </c>
      <c r="C58" s="4" t="s">
        <v>272</v>
      </c>
      <c r="D58" s="4" t="s">
        <v>273</v>
      </c>
      <c r="E58" s="4" t="s">
        <v>14</v>
      </c>
      <c r="F58" s="4" t="s">
        <v>63</v>
      </c>
    </row>
    <row r="59" customFormat="false" ht="15" hidden="false" customHeight="false" outlineLevel="0" collapsed="false">
      <c r="A59" s="4" t="s">
        <v>199</v>
      </c>
      <c r="B59" s="4" t="n">
        <v>3</v>
      </c>
      <c r="C59" s="4" t="s">
        <v>272</v>
      </c>
      <c r="D59" s="4" t="s">
        <v>275</v>
      </c>
      <c r="E59" s="4" t="s">
        <v>14</v>
      </c>
      <c r="F59" s="4" t="s">
        <v>64</v>
      </c>
    </row>
    <row r="60" customFormat="false" ht="15" hidden="false" customHeight="false" outlineLevel="0" collapsed="false">
      <c r="A60" s="4" t="s">
        <v>199</v>
      </c>
      <c r="B60" s="4" t="n">
        <v>3</v>
      </c>
      <c r="C60" s="4" t="s">
        <v>272</v>
      </c>
      <c r="D60" s="4" t="s">
        <v>281</v>
      </c>
      <c r="E60" s="4" t="s">
        <v>14</v>
      </c>
      <c r="F60" s="4"/>
    </row>
    <row r="61" customFormat="false" ht="23.85" hidden="false" customHeight="false" outlineLevel="0" collapsed="false">
      <c r="A61" s="4" t="s">
        <v>191</v>
      </c>
      <c r="B61" s="4" t="n">
        <v>3</v>
      </c>
      <c r="C61" s="4" t="s">
        <v>187</v>
      </c>
      <c r="D61" s="4" t="s">
        <v>188</v>
      </c>
      <c r="E61" s="4" t="s">
        <v>14</v>
      </c>
      <c r="F61" s="4" t="s">
        <v>190</v>
      </c>
    </row>
    <row r="62" customFormat="false" ht="23.85" hidden="false" customHeight="false" outlineLevel="0" collapsed="false">
      <c r="A62" s="4" t="s">
        <v>191</v>
      </c>
      <c r="B62" s="4" t="n">
        <v>3</v>
      </c>
      <c r="C62" s="4" t="s">
        <v>187</v>
      </c>
      <c r="D62" s="4" t="s">
        <v>193</v>
      </c>
      <c r="E62" s="4" t="s">
        <v>14</v>
      </c>
      <c r="F62" s="4" t="s">
        <v>190</v>
      </c>
    </row>
    <row r="63" customFormat="false" ht="23.85" hidden="false" customHeight="false" outlineLevel="0" collapsed="false">
      <c r="A63" s="4" t="s">
        <v>191</v>
      </c>
      <c r="B63" s="4" t="n">
        <v>3</v>
      </c>
      <c r="C63" s="4" t="s">
        <v>187</v>
      </c>
      <c r="D63" s="4" t="s">
        <v>201</v>
      </c>
      <c r="E63" s="4" t="s">
        <v>14</v>
      </c>
      <c r="F63" s="4" t="s">
        <v>190</v>
      </c>
    </row>
    <row r="64" customFormat="false" ht="23.85" hidden="false" customHeight="false" outlineLevel="0" collapsed="false">
      <c r="A64" s="4" t="s">
        <v>191</v>
      </c>
      <c r="B64" s="4" t="n">
        <v>3</v>
      </c>
      <c r="C64" s="4" t="s">
        <v>187</v>
      </c>
      <c r="D64" s="4" t="s">
        <v>203</v>
      </c>
      <c r="E64" s="4" t="s">
        <v>14</v>
      </c>
      <c r="F64" s="4" t="s">
        <v>190</v>
      </c>
    </row>
    <row r="65" customFormat="false" ht="15" hidden="false" customHeight="false" outlineLevel="0" collapsed="false">
      <c r="A65" s="4" t="s">
        <v>191</v>
      </c>
      <c r="B65" s="4" t="n">
        <v>3</v>
      </c>
      <c r="C65" s="4" t="s">
        <v>210</v>
      </c>
      <c r="D65" s="4" t="s">
        <v>213</v>
      </c>
      <c r="E65" s="4" t="s">
        <v>14</v>
      </c>
      <c r="F65" s="4" t="s">
        <v>76</v>
      </c>
    </row>
    <row r="66" customFormat="false" ht="15" hidden="false" customHeight="false" outlineLevel="0" collapsed="false">
      <c r="A66" s="4" t="s">
        <v>191</v>
      </c>
      <c r="B66" s="4" t="n">
        <v>3</v>
      </c>
      <c r="C66" s="4" t="s">
        <v>210</v>
      </c>
      <c r="D66" s="4" t="s">
        <v>217</v>
      </c>
      <c r="E66" s="4" t="s">
        <v>14</v>
      </c>
      <c r="F66" s="4" t="s">
        <v>76</v>
      </c>
    </row>
    <row r="67" customFormat="false" ht="15" hidden="false" customHeight="false" outlineLevel="0" collapsed="false">
      <c r="A67" s="4" t="s">
        <v>191</v>
      </c>
      <c r="B67" s="4" t="n">
        <v>3</v>
      </c>
      <c r="C67" s="4" t="s">
        <v>242</v>
      </c>
      <c r="D67" s="4" t="s">
        <v>243</v>
      </c>
      <c r="E67" s="4" t="s">
        <v>14</v>
      </c>
      <c r="F67" s="4" t="s">
        <v>149</v>
      </c>
    </row>
    <row r="68" customFormat="false" ht="15" hidden="false" customHeight="false" outlineLevel="0" collapsed="false">
      <c r="A68" s="4" t="s">
        <v>191</v>
      </c>
      <c r="B68" s="4" t="n">
        <v>3</v>
      </c>
      <c r="C68" s="4" t="s">
        <v>242</v>
      </c>
      <c r="D68" s="4" t="s">
        <v>248</v>
      </c>
      <c r="E68" s="4" t="s">
        <v>14</v>
      </c>
      <c r="F68" s="4" t="s">
        <v>149</v>
      </c>
    </row>
    <row r="69" customFormat="false" ht="15" hidden="false" customHeight="false" outlineLevel="0" collapsed="false">
      <c r="A69" s="4" t="s">
        <v>191</v>
      </c>
      <c r="B69" s="4" t="n">
        <v>3</v>
      </c>
      <c r="C69" s="4" t="s">
        <v>242</v>
      </c>
      <c r="D69" s="4" t="s">
        <v>250</v>
      </c>
      <c r="E69" s="4" t="s">
        <v>14</v>
      </c>
      <c r="F69" s="4" t="s">
        <v>149</v>
      </c>
    </row>
    <row r="70" customFormat="false" ht="15" hidden="false" customHeight="false" outlineLevel="0" collapsed="false">
      <c r="A70" s="4" t="s">
        <v>191</v>
      </c>
      <c r="B70" s="4" t="n">
        <v>3</v>
      </c>
      <c r="C70" s="4" t="s">
        <v>242</v>
      </c>
      <c r="D70" s="4" t="s">
        <v>256</v>
      </c>
      <c r="E70" s="4" t="s">
        <v>14</v>
      </c>
      <c r="F70" s="4" t="s">
        <v>122</v>
      </c>
    </row>
    <row r="71" customFormat="false" ht="15" hidden="false" customHeight="false" outlineLevel="0" collapsed="false">
      <c r="A71" s="4" t="s">
        <v>191</v>
      </c>
      <c r="B71" s="4" t="n">
        <v>3</v>
      </c>
      <c r="C71" s="4" t="s">
        <v>272</v>
      </c>
      <c r="D71" s="4" t="s">
        <v>277</v>
      </c>
      <c r="E71" s="4" t="s">
        <v>14</v>
      </c>
      <c r="F71" s="4"/>
    </row>
    <row r="72" customFormat="false" ht="15" hidden="false" customHeight="false" outlineLevel="0" collapsed="false">
      <c r="A72" s="4" t="s">
        <v>208</v>
      </c>
      <c r="B72" s="4" t="n">
        <v>3</v>
      </c>
      <c r="C72" s="4" t="s">
        <v>187</v>
      </c>
      <c r="D72" s="4" t="s">
        <v>206</v>
      </c>
      <c r="E72" s="4" t="s">
        <v>14</v>
      </c>
      <c r="F72" s="4" t="s">
        <v>149</v>
      </c>
    </row>
    <row r="73" customFormat="false" ht="15" hidden="false" customHeight="false" outlineLevel="0" collapsed="false">
      <c r="A73" s="4" t="s">
        <v>208</v>
      </c>
      <c r="B73" s="4" t="n">
        <v>3</v>
      </c>
      <c r="C73" s="4" t="s">
        <v>210</v>
      </c>
      <c r="D73" s="4" t="s">
        <v>211</v>
      </c>
      <c r="E73" s="4" t="s">
        <v>14</v>
      </c>
      <c r="F73" s="4" t="s">
        <v>138</v>
      </c>
    </row>
    <row r="74" customFormat="false" ht="15" hidden="false" customHeight="false" outlineLevel="0" collapsed="false">
      <c r="A74" s="4" t="s">
        <v>208</v>
      </c>
      <c r="B74" s="4" t="n">
        <v>3</v>
      </c>
      <c r="C74" s="4" t="s">
        <v>210</v>
      </c>
      <c r="D74" s="4" t="s">
        <v>215</v>
      </c>
      <c r="E74" s="4" t="s">
        <v>14</v>
      </c>
      <c r="F74" s="4" t="s">
        <v>138</v>
      </c>
    </row>
    <row r="75" customFormat="false" ht="15" hidden="false" customHeight="false" outlineLevel="0" collapsed="false">
      <c r="A75" s="4" t="s">
        <v>208</v>
      </c>
      <c r="B75" s="4" t="n">
        <v>3</v>
      </c>
      <c r="C75" s="4" t="s">
        <v>210</v>
      </c>
      <c r="D75" s="4" t="s">
        <v>219</v>
      </c>
      <c r="E75" s="4" t="s">
        <v>14</v>
      </c>
      <c r="F75" s="4" t="s">
        <v>138</v>
      </c>
    </row>
    <row r="76" customFormat="false" ht="15" hidden="false" customHeight="false" outlineLevel="0" collapsed="false">
      <c r="A76" s="4" t="s">
        <v>208</v>
      </c>
      <c r="B76" s="4" t="n">
        <v>3</v>
      </c>
      <c r="C76" s="4" t="s">
        <v>223</v>
      </c>
      <c r="D76" s="4" t="s">
        <v>224</v>
      </c>
      <c r="E76" s="4" t="s">
        <v>14</v>
      </c>
      <c r="F76" s="4" t="s">
        <v>122</v>
      </c>
    </row>
    <row r="77" customFormat="false" ht="15" hidden="false" customHeight="false" outlineLevel="0" collapsed="false">
      <c r="A77" s="4" t="s">
        <v>208</v>
      </c>
      <c r="B77" s="4" t="n">
        <v>3</v>
      </c>
      <c r="C77" s="4" t="s">
        <v>223</v>
      </c>
      <c r="D77" s="4" t="s">
        <v>228</v>
      </c>
      <c r="E77" s="4" t="s">
        <v>14</v>
      </c>
      <c r="F77" s="4" t="s">
        <v>122</v>
      </c>
    </row>
    <row r="78" customFormat="false" ht="15" hidden="false" customHeight="false" outlineLevel="0" collapsed="false">
      <c r="A78" s="4" t="s">
        <v>208</v>
      </c>
      <c r="B78" s="4" t="n">
        <v>3</v>
      </c>
      <c r="C78" s="4" t="s">
        <v>223</v>
      </c>
      <c r="D78" s="4" t="s">
        <v>231</v>
      </c>
      <c r="E78" s="4" t="s">
        <v>14</v>
      </c>
      <c r="F78" s="4" t="s">
        <v>122</v>
      </c>
    </row>
    <row r="79" customFormat="false" ht="15" hidden="false" customHeight="false" outlineLevel="0" collapsed="false">
      <c r="A79" s="4" t="s">
        <v>208</v>
      </c>
      <c r="B79" s="4" t="n">
        <v>3</v>
      </c>
      <c r="C79" s="4" t="s">
        <v>223</v>
      </c>
      <c r="D79" s="4" t="s">
        <v>233</v>
      </c>
      <c r="E79" s="4" t="s">
        <v>14</v>
      </c>
      <c r="F79" s="4" t="s">
        <v>10</v>
      </c>
    </row>
    <row r="80" customFormat="false" ht="15" hidden="false" customHeight="false" outlineLevel="0" collapsed="false">
      <c r="A80" s="4" t="s">
        <v>208</v>
      </c>
      <c r="B80" s="4" t="n">
        <v>3</v>
      </c>
      <c r="C80" s="4" t="s">
        <v>223</v>
      </c>
      <c r="D80" s="4" t="s">
        <v>235</v>
      </c>
      <c r="E80" s="4" t="s">
        <v>14</v>
      </c>
      <c r="F80" s="4" t="s">
        <v>122</v>
      </c>
    </row>
    <row r="81" customFormat="false" ht="15" hidden="false" customHeight="false" outlineLevel="0" collapsed="false">
      <c r="A81" s="4" t="s">
        <v>208</v>
      </c>
      <c r="B81" s="4" t="n">
        <v>3</v>
      </c>
      <c r="C81" s="4" t="s">
        <v>223</v>
      </c>
      <c r="D81" s="4" t="s">
        <v>237</v>
      </c>
      <c r="E81" s="4" t="s">
        <v>14</v>
      </c>
      <c r="F81" s="4" t="s">
        <v>149</v>
      </c>
    </row>
    <row r="82" customFormat="false" ht="15" hidden="false" customHeight="false" outlineLevel="0" collapsed="false">
      <c r="A82" s="4" t="s">
        <v>208</v>
      </c>
      <c r="B82" s="4" t="n">
        <v>3</v>
      </c>
      <c r="C82" s="4" t="s">
        <v>223</v>
      </c>
      <c r="D82" s="4" t="s">
        <v>240</v>
      </c>
      <c r="E82" s="4" t="s">
        <v>14</v>
      </c>
      <c r="F82" s="4" t="s">
        <v>10</v>
      </c>
    </row>
    <row r="83" customFormat="false" ht="15" hidden="false" customHeight="false" outlineLevel="0" collapsed="false">
      <c r="A83" s="4" t="s">
        <v>208</v>
      </c>
      <c r="B83" s="4" t="n">
        <v>3</v>
      </c>
      <c r="C83" s="4" t="s">
        <v>242</v>
      </c>
      <c r="D83" s="4" t="s">
        <v>245</v>
      </c>
      <c r="E83" s="4" t="s">
        <v>14</v>
      </c>
      <c r="F83" s="4" t="s">
        <v>81</v>
      </c>
    </row>
    <row r="84" customFormat="false" ht="15" hidden="false" customHeight="false" outlineLevel="0" collapsed="false">
      <c r="A84" s="4" t="s">
        <v>208</v>
      </c>
      <c r="B84" s="4" t="n">
        <v>3</v>
      </c>
      <c r="C84" s="4" t="s">
        <v>242</v>
      </c>
      <c r="D84" s="4" t="s">
        <v>253</v>
      </c>
      <c r="E84" s="4" t="s">
        <v>14</v>
      </c>
      <c r="F84" s="4" t="s">
        <v>36</v>
      </c>
    </row>
    <row r="85" customFormat="false" ht="15" hidden="false" customHeight="false" outlineLevel="0" collapsed="false">
      <c r="A85" s="4" t="s">
        <v>208</v>
      </c>
      <c r="B85" s="4" t="n">
        <v>3</v>
      </c>
      <c r="C85" s="4" t="s">
        <v>258</v>
      </c>
      <c r="D85" s="4" t="s">
        <v>259</v>
      </c>
      <c r="E85" s="4" t="s">
        <v>14</v>
      </c>
      <c r="F85" s="4" t="s">
        <v>149</v>
      </c>
    </row>
    <row r="86" customFormat="false" ht="15" hidden="false" customHeight="false" outlineLevel="0" collapsed="false">
      <c r="A86" s="4" t="s">
        <v>208</v>
      </c>
      <c r="B86" s="4" t="n">
        <v>3</v>
      </c>
      <c r="C86" s="4" t="s">
        <v>258</v>
      </c>
      <c r="D86" s="4" t="s">
        <v>262</v>
      </c>
      <c r="E86" s="4" t="s">
        <v>14</v>
      </c>
      <c r="F86" s="4" t="s">
        <v>149</v>
      </c>
    </row>
    <row r="87" customFormat="false" ht="15" hidden="false" customHeight="false" outlineLevel="0" collapsed="false">
      <c r="A87" s="4" t="s">
        <v>208</v>
      </c>
      <c r="B87" s="4" t="n">
        <v>3</v>
      </c>
      <c r="C87" s="4" t="s">
        <v>258</v>
      </c>
      <c r="D87" s="4" t="s">
        <v>265</v>
      </c>
      <c r="E87" s="4" t="s">
        <v>14</v>
      </c>
      <c r="F87" s="4" t="s">
        <v>10</v>
      </c>
    </row>
    <row r="88" customFormat="false" ht="15" hidden="false" customHeight="false" outlineLevel="0" collapsed="false">
      <c r="A88" s="4" t="s">
        <v>208</v>
      </c>
      <c r="B88" s="4" t="n">
        <v>3</v>
      </c>
      <c r="C88" s="4" t="s">
        <v>258</v>
      </c>
      <c r="D88" s="4" t="s">
        <v>267</v>
      </c>
      <c r="E88" s="4" t="s">
        <v>14</v>
      </c>
      <c r="F88" s="4" t="s">
        <v>269</v>
      </c>
    </row>
    <row r="89" customFormat="false" ht="15" hidden="false" customHeight="false" outlineLevel="0" collapsed="false">
      <c r="A89" s="4" t="s">
        <v>208</v>
      </c>
      <c r="B89" s="4" t="n">
        <v>3</v>
      </c>
      <c r="C89" s="4" t="s">
        <v>258</v>
      </c>
      <c r="D89" s="4" t="s">
        <v>270</v>
      </c>
      <c r="E89" s="4" t="s">
        <v>14</v>
      </c>
      <c r="F89" s="4" t="s">
        <v>149</v>
      </c>
    </row>
    <row r="90" customFormat="false" ht="15" hidden="false" customHeight="false" outlineLevel="0" collapsed="false">
      <c r="A90" s="4" t="s">
        <v>208</v>
      </c>
      <c r="B90" s="4" t="n">
        <v>3</v>
      </c>
      <c r="C90" s="4" t="s">
        <v>272</v>
      </c>
      <c r="D90" s="4" t="s">
        <v>279</v>
      </c>
      <c r="E90" s="4" t="s">
        <v>14</v>
      </c>
      <c r="F90" s="4"/>
    </row>
  </sheetData>
  <autoFilter ref="A1:F9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2026-02-06T04:45:27Z</dcterms:created>
  <dc:creator>openpyxl</dc:creator>
  <dc:description/>
  <dc:language>en-US</dc:language>
  <cp:lastModifiedBy/>
  <dcterms:modified xsi:type="dcterms:W3CDTF">2026-02-06T04:45:27Z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